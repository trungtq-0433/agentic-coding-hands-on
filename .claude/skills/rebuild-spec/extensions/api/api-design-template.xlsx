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Common Conventions" sheetId="2" r:id="rId6"/>
    <sheet state="visible" name="Status code" sheetId="3" r:id="rId7"/>
    <sheet state="visible" name="API List" sheetId="4" r:id="rId8"/>
    <sheet state="visible" name="API_Detail_Template" sheetId="5" r:id="rId9"/>
    <sheet state="visible" name="SamplePOST apiv1login" sheetId="6" r:id="rId10"/>
    <sheet state="visible" name="Appendix" sheetId="7" r:id="rId11"/>
  </sheets>
  <definedNames/>
  <calcPr/>
</workbook>
</file>

<file path=xl/sharedStrings.xml><?xml version="1.0" encoding="utf-8"?>
<sst xmlns="http://schemas.openxmlformats.org/spreadsheetml/2006/main" count="202" uniqueCount="124">
  <si>
    <t>API Design</t>
  </si>
  <si>
    <t>No: BM-2-901-52</t>
  </si>
  <si>
    <t>Version: 01</t>
  </si>
  <si>
    <t>Issue Date: 07/07/2021</t>
  </si>
  <si>
    <t>SUN ASTERISK VIETNAM CO., LTD</t>
  </si>
  <si>
    <t>ISO/IEC 27001:2013&amp;ISO 9001:2015</t>
  </si>
  <si>
    <t>HISTORY OF CHANGES</t>
  </si>
  <si>
    <t>No</t>
  </si>
  <si>
    <t>Ver</t>
  </si>
  <si>
    <t>アクション
Action</t>
  </si>
  <si>
    <t>対象シート
Sheet</t>
  </si>
  <si>
    <t>変更内容
Description of changes</t>
  </si>
  <si>
    <t>更新日
Change Date</t>
  </si>
  <si>
    <t>更新者
Editor</t>
  </si>
  <si>
    <t>Ver 0.1</t>
  </si>
  <si>
    <t>Add new</t>
  </si>
  <si>
    <t>POST /api/v1/login</t>
  </si>
  <si>
    <t>Add API login</t>
  </si>
  <si>
    <t>Nguyen Van A</t>
  </si>
  <si>
    <t>共通基準
Common Conventions</t>
  </si>
  <si>
    <t xml:space="preserve">基準内容
Convention Contents  </t>
  </si>
  <si>
    <t xml:space="preserve">例
Example    </t>
  </si>
  <si>
    <t>備考
Note</t>
  </si>
  <si>
    <t xml:space="preserve">All the possible responses are listed under ‘Responses’ for each method. Only one of them is issued per request server.
</t>
  </si>
  <si>
    <t>N/A</t>
  </si>
  <si>
    <t xml:space="preserve">All request parameters are mandatory unless explicitly marked as [optional]
</t>
  </si>
  <si>
    <t>Comply with regulations on status code</t>
  </si>
  <si>
    <r>
      <rPr>
        <rFont val="Arial"/>
        <color rgb="FF1155CC"/>
        <sz val="10.0"/>
        <u/>
      </rPr>
      <t>Status code</t>
    </r>
    <r>
      <rPr>
        <rFont val="Arial"/>
        <sz val="10.0"/>
      </rPr>
      <t xml:space="preserve"> </t>
    </r>
  </si>
  <si>
    <t>The format of error detail is JSON.</t>
  </si>
  <si>
    <t xml:space="preserve">  {"errors": [{"error_code":"400", "error_description":"Bad request", "error_extra":{"param1":"error message"}}]}</t>
  </si>
  <si>
    <t>ステータスコード
Status codes</t>
  </si>
  <si>
    <t xml:space="preserve">All status codes are standard HTTP status codes. The below ones are used in this API.
2XX - Success of some kind
4XX - Error occurred in client’s part
5XX - Error occurred in server’s part
</t>
  </si>
  <si>
    <t>Status code</t>
  </si>
  <si>
    <t>内容
Description</t>
  </si>
  <si>
    <t>OK</t>
  </si>
  <si>
    <t>Created</t>
  </si>
  <si>
    <t>Accepted (Request accepted, and queued for execution)</t>
  </si>
  <si>
    <t>Bad request</t>
  </si>
  <si>
    <t>Authentication failure</t>
  </si>
  <si>
    <t>Forbidden</t>
  </si>
  <si>
    <t>Resource not found</t>
  </si>
  <si>
    <t>Internal Server Error</t>
  </si>
  <si>
    <t>Service Unavailable</t>
  </si>
  <si>
    <t>API一覧
API List</t>
  </si>
  <si>
    <t>カテゴリ
Category</t>
  </si>
  <si>
    <t xml:space="preserve">
画面／機能
Screen/Feature</t>
  </si>
  <si>
    <t>API URL</t>
  </si>
  <si>
    <t xml:space="preserve">
詳細
Detail Description</t>
  </si>
  <si>
    <t>Authentification</t>
  </si>
  <si>
    <t>Login</t>
  </si>
  <si>
    <t>After clicking the button login, will call this API</t>
  </si>
  <si>
    <t>Logout</t>
  </si>
  <si>
    <t>Change password</t>
  </si>
  <si>
    <t>システム名
System Name</t>
  </si>
  <si>
    <t>API名称
API Name</t>
  </si>
  <si>
    <t>作成日
Created date</t>
  </si>
  <si>
    <t>エンドポイント
Endpoint</t>
  </si>
  <si>
    <t>作成者
Creator</t>
  </si>
  <si>
    <t>メソッド
Method</t>
  </si>
  <si>
    <t>更新日
Updated date</t>
  </si>
  <si>
    <t>更新者
Updator</t>
  </si>
  <si>
    <t>Media type</t>
  </si>
  <si>
    <t>Request Params</t>
  </si>
  <si>
    <t>No.</t>
  </si>
  <si>
    <t>Param Type</t>
  </si>
  <si>
    <t>Key</t>
  </si>
  <si>
    <t>Data Type</t>
  </si>
  <si>
    <t>Values</t>
  </si>
  <si>
    <t>Description</t>
  </si>
  <si>
    <t xml:space="preserve">
Note</t>
  </si>
  <si>
    <t>Responses</t>
  </si>
  <si>
    <t>Status Code</t>
  </si>
  <si>
    <t>Example response</t>
  </si>
  <si>
    <t>1</t>
  </si>
  <si>
    <t>2</t>
  </si>
  <si>
    <t>3</t>
  </si>
  <si>
    <t>API Login</t>
  </si>
  <si>
    <t>Created date</t>
  </si>
  <si>
    <t>/api/v1/login</t>
  </si>
  <si>
    <t>Created by</t>
  </si>
  <si>
    <t>MaiTTT</t>
  </si>
  <si>
    <t>POST</t>
  </si>
  <si>
    <t>Updated date</t>
  </si>
  <si>
    <t>Authenticate the user with the system and obtain the auth_token</t>
  </si>
  <si>
    <t>Updated by</t>
  </si>
  <si>
    <t>application/json</t>
  </si>
  <si>
    <t>Note</t>
  </si>
  <si>
    <t>Form Parameters</t>
  </si>
  <si>
    <t>email</t>
  </si>
  <si>
    <t>string</t>
  </si>
  <si>
    <t>example@example.com</t>
  </si>
  <si>
    <t>password</t>
  </si>
  <si>
    <t>Aa@123456</t>
  </si>
  <si>
    <t>Header Parameters</t>
  </si>
  <si>
    <t>Authorization</t>
  </si>
  <si>
    <t>Bearer eyJ0eXAiOiJKV1QiLCJhbGciOiJSUzI1NiIsImp0aSI6Ijg0YWU4ZmZiMzkwMGM4NjRlMjYxYzUwMTBlMDA2ZDY3NTFmMjM0ZjhmZWFmZjRlM2RjY2E0ODhlMDRmNGQxZDQyNTMwN2QwNDlmMjE3Yzg1In0.eyJhdWQiOiIxIiwianRpIjoiODRhZThmZmIzOTAwYzg2NGUyNjFjNTAxMGUwMDZkNjc1MWYyMzRmOGZlYWZmNGUzZGNjYTQ4OGUwNGY0ZDFkNDI1MzA3ZDA0OWYyMTdjODUiLCJpYXQiOjE2MDg2MTU3ODAsIm5iZiI6MTYwODYxNTc4MCwiZXhwIjoxNjA4Nzg4NTc5LCJzdWIiOiIxNjkiLCJzY29wZXMiOltdfQ.jDGtT29P1Hen0Ptygrg_kY32HtKBvY7suM75-0Pu_DFeZAOKPsYZEkq8y0a6f6VTgq8YKDhpNDnIdxmSsfbsj_5mpZ0tYB7vYY0Dfp7dfugUmbTfODxsXSV7xK0-Lk3mkydd8qQU8L1L5WBqcEeXEdgVm6HFFLAlg47O6RuLtVJe73KehS3-XanglVEkScAqZtrXLgF9fXf1Y_uiXtGBdvOFuqyGrvUVBuxnQoaGquc5eCfMaOJpjuILCA7M4AFHVax--uBHDN_5VqPPQrIX-cEQpQOvNVWQOUZuloxWKI2_SswOLJ_6P31AUSs2EhRuufqbq1ju0EDbCqdR6TfsFB-RKmt59ckTGChuaTCCYujnFT5ySWPH3t0ZIy1NhTRWlTWVegt2zXgCURJxKOqhl_jASx7UBuxEsg8hFrCpQhmCd_gnaev709eQXw6ahc6qftgUKRdyzPfzyYeCjHSaKcuqXyKxIhQM5dQBwF2t48ggQERFDFueOxzuAz9yA_t-9vHsdIBmoIijwFzKnPwSCrIiQjsyMVT01Q1vO_pqhEzynG0HrfTsaY7MMnWPdD1gYHHw1H6YmdidAzMJvQA36HmxfcD9GzUesTNv9_qVSWyM8T3XyXV02cgnAWA4KkqMA4UtHGhVKb5oOML-HIiPcakU_-BZtM94lqA3dUWmaMs</t>
  </si>
  <si>
    <t>Basic authentication header</t>
  </si>
  <si>
    <t>200</t>
  </si>
  <si>
    <t>returns success</t>
  </si>
  <si>
    <t>{
    "auth_token": "12312shfashdajl1j2l34kj12xalxjkalkxajsy",
    "username": Example
    "uid": "e63fea5d-eba5-4644-b714-912b1c764c34"
}</t>
  </si>
  <si>
    <t>auth_key (string) - all further API calls must have this key in header</t>
  </si>
  <si>
    <t>400</t>
  </si>
  <si>
    <t>Bad Request</t>
  </si>
  <si>
    <t>{
  "error": "Please provide username."
}</t>
  </si>
  <si>
    <t>500</t>
  </si>
  <si>
    <t>{
  "error": "Something went wrong. Please try again later."
}</t>
  </si>
  <si>
    <t xml:space="preserve">
Action</t>
  </si>
  <si>
    <t>Member list</t>
  </si>
  <si>
    <t>Input type</t>
  </si>
  <si>
    <t>Param type</t>
  </si>
  <si>
    <t>#</t>
  </si>
  <si>
    <t>タイトル
Title</t>
  </si>
  <si>
    <t>説明
Description</t>
  </si>
  <si>
    <t>名前
Name</t>
  </si>
  <si>
    <t>ポジション
Position</t>
  </si>
  <si>
    <t>Name</t>
  </si>
  <si>
    <t>BrSE</t>
  </si>
  <si>
    <t>Integer</t>
  </si>
  <si>
    <t>Updated</t>
  </si>
  <si>
    <t>Path Parameters</t>
  </si>
  <si>
    <t>text</t>
  </si>
  <si>
    <t>Query Parameters</t>
  </si>
  <si>
    <t>boolean</t>
  </si>
  <si>
    <t>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</si>
</sst>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m/d/yyyy"/>
    <numFmt numFmtId="166" formatCode="M/d/yyyy"/>
  </numFmts>
  <fonts count="27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b/>
      <sz val="18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4.0"/>
      <color theme="1"/>
      <name val="Roboto"/>
    </font>
    <font>
      <b/>
      <sz val="12.0"/>
      <color theme="1"/>
      <name val="Times New Roman"/>
    </font>
    <font>
      <b/>
      <sz val="10.0"/>
      <color rgb="FF000000"/>
      <name val="Arial"/>
    </font>
    <font>
      <b/>
      <sz val="10.0"/>
      <color theme="1"/>
      <name val="Roboto"/>
    </font>
    <font>
      <b/>
      <sz val="18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4.0"/>
      <color theme="1"/>
      <name val="Arial"/>
    </font>
    <font>
      <u/>
      <sz val="10.0"/>
      <color rgb="FF1155CC"/>
      <name val="Arial"/>
    </font>
    <font>
      <b/>
      <sz val="24.0"/>
      <color theme="1"/>
      <name val="Roboto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FFFFFF"/>
      <name val="Arial"/>
    </font>
    <font>
      <color theme="1"/>
      <name val="Roboto"/>
    </font>
    <font>
      <color theme="1"/>
      <name val="Arial"/>
    </font>
    <font>
      <b/>
      <color theme="1"/>
      <name val="Arial"/>
    </font>
    <font>
      <color rgb="FF000000"/>
      <name val="Arial"/>
    </font>
    <font>
      <b/>
      <sz val="9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5" numFmtId="0" xfId="0" applyAlignment="1" applyBorder="1" applyFont="1">
      <alignment readingOrder="0" vertical="center"/>
    </xf>
    <xf borderId="5" fillId="0" fontId="2" numFmtId="0" xfId="0" applyBorder="1" applyFont="1"/>
    <xf borderId="6" fillId="0" fontId="5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6" numFmtId="0" xfId="0" applyAlignment="1" applyBorder="1" applyFont="1">
      <alignment readingOrder="0" vertical="center"/>
    </xf>
    <xf borderId="10" fillId="0" fontId="2" numFmtId="0" xfId="0" applyBorder="1" applyFont="1"/>
    <xf borderId="6" fillId="0" fontId="6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right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1" fillId="0" fontId="8" numFmtId="0" xfId="0" applyAlignment="1" applyBorder="1" applyFont="1">
      <alignment horizontal="center" readingOrder="0" shrinkToFit="0" vertical="center" wrapText="1"/>
    </xf>
    <xf borderId="13" fillId="2" fontId="8" numFmtId="0" xfId="0" applyAlignment="1" applyBorder="1" applyFill="1" applyFont="1">
      <alignment horizontal="center" readingOrder="0" shrinkToFit="0" vertical="center" wrapText="1"/>
    </xf>
    <xf borderId="9" fillId="2" fontId="9" numFmtId="0" xfId="0" applyAlignment="1" applyBorder="1" applyFont="1">
      <alignment horizontal="center" shrinkToFit="0" wrapText="1"/>
    </xf>
    <xf borderId="14" fillId="0" fontId="2" numFmtId="0" xfId="0" applyBorder="1" applyFont="1"/>
    <xf borderId="13" fillId="2" fontId="9" numFmtId="0" xfId="0" applyAlignment="1" applyBorder="1" applyFont="1">
      <alignment horizontal="center" shrinkToFit="0" wrapText="1"/>
    </xf>
    <xf borderId="13" fillId="2" fontId="9" numFmtId="0" xfId="0" applyAlignment="1" applyBorder="1" applyFont="1">
      <alignment horizontal="center" readingOrder="0" shrinkToFit="0" wrapText="1"/>
    </xf>
    <xf borderId="13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13" fillId="0" fontId="4" numFmtId="164" xfId="0" applyAlignment="1" applyBorder="1" applyFont="1" applyNumberFormat="1">
      <alignment horizontal="center" readingOrder="0" shrinkToFit="0" vertical="center" wrapText="1"/>
    </xf>
    <xf borderId="15" fillId="0" fontId="10" numFmtId="49" xfId="0" applyAlignment="1" applyBorder="1" applyFont="1" applyNumberFormat="1">
      <alignment horizontal="left" readingOrder="0" shrinkToFit="0" vertical="center" wrapText="1"/>
    </xf>
    <xf borderId="16" fillId="0" fontId="10" numFmtId="49" xfId="0" applyAlignment="1" applyBorder="1" applyFont="1" applyNumberFormat="1">
      <alignment horizontal="left" readingOrder="0" shrinkToFit="0" vertical="center" wrapText="1"/>
    </xf>
    <xf borderId="17" fillId="0" fontId="10" numFmtId="49" xfId="0" applyAlignment="1" applyBorder="1" applyFont="1" applyNumberFormat="1">
      <alignment horizontal="left" readingOrder="0" shrinkToFit="0" vertical="center" wrapText="1"/>
    </xf>
    <xf borderId="6" fillId="0" fontId="6" numFmtId="0" xfId="0" applyAlignment="1" applyBorder="1" applyFont="1">
      <alignment horizontal="right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3" fillId="2" fontId="12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left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left" readingOrder="0" shrinkToFit="0" vertical="center" wrapText="1"/>
    </xf>
    <xf borderId="9" fillId="2" fontId="12" numFmtId="0" xfId="0" applyAlignment="1" applyBorder="1" applyFont="1">
      <alignment horizontal="center" readingOrder="0" shrinkToFit="0" vertical="center" wrapText="1"/>
    </xf>
    <xf borderId="10" fillId="2" fontId="12" numFmtId="0" xfId="0" applyAlignment="1" applyBorder="1" applyFont="1">
      <alignment horizontal="center" readingOrder="0" shrinkToFit="0" vertical="center" wrapText="1"/>
    </xf>
    <xf borderId="10" fillId="0" fontId="1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9" fillId="0" fontId="16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1" fillId="0" fontId="17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readingOrder="0" vertical="center"/>
    </xf>
    <xf borderId="9" fillId="0" fontId="6" numFmtId="0" xfId="0" applyAlignment="1" applyBorder="1" applyFont="1">
      <alignment horizontal="right" readingOrder="0" shrinkToFit="0" vertical="center" wrapText="1"/>
    </xf>
    <xf borderId="0" fillId="0" fontId="10" numFmtId="0" xfId="0" applyAlignment="1" applyFont="1">
      <alignment readingOrder="0" vertical="center"/>
    </xf>
    <xf borderId="0" fillId="3" fontId="18" numFmtId="0" xfId="0" applyAlignment="1" applyFill="1" applyFont="1">
      <alignment horizontal="center" readingOrder="0" shrinkToFit="0" wrapText="1"/>
    </xf>
    <xf borderId="9" fillId="2" fontId="9" numFmtId="49" xfId="0" applyAlignment="1" applyBorder="1" applyFont="1" applyNumberFormat="1">
      <alignment horizontal="left" readingOrder="0" shrinkToFit="0" vertical="center" wrapText="1"/>
    </xf>
    <xf borderId="9" fillId="3" fontId="19" numFmtId="0" xfId="0" applyAlignment="1" applyBorder="1" applyFont="1">
      <alignment horizontal="center" readingOrder="0" shrinkToFit="0" wrapText="1"/>
    </xf>
    <xf borderId="13" fillId="2" fontId="9" numFmtId="0" xfId="0" applyAlignment="1" applyBorder="1" applyFont="1">
      <alignment horizontal="center" readingOrder="0" shrinkToFit="0" vertical="bottom" wrapText="1"/>
    </xf>
    <xf borderId="10" fillId="3" fontId="19" numFmtId="165" xfId="0" applyAlignment="1" applyBorder="1" applyFont="1" applyNumberFormat="1">
      <alignment horizontal="center" readingOrder="0" shrinkToFit="0" wrapText="1"/>
    </xf>
    <xf borderId="0" fillId="3" fontId="13" numFmtId="166" xfId="0" applyAlignment="1" applyFont="1" applyNumberFormat="1">
      <alignment horizontal="center" readingOrder="0"/>
    </xf>
    <xf borderId="9" fillId="0" fontId="13" numFmtId="0" xfId="0" applyAlignment="1" applyBorder="1" applyFont="1">
      <alignment horizontal="center" readingOrder="0"/>
    </xf>
    <xf borderId="11" fillId="0" fontId="15" numFmtId="0" xfId="0" applyAlignment="1" applyBorder="1" applyFont="1">
      <alignment horizontal="left" readingOrder="0" shrinkToFit="0" vertical="center" wrapText="1"/>
    </xf>
    <xf borderId="13" fillId="2" fontId="9" numFmtId="49" xfId="0" applyAlignment="1" applyBorder="1" applyFont="1" applyNumberFormat="1">
      <alignment horizontal="center" vertical="center"/>
    </xf>
    <xf borderId="13" fillId="2" fontId="9" numFmtId="49" xfId="0" applyAlignment="1" applyBorder="1" applyFont="1" applyNumberFormat="1">
      <alignment horizontal="center" readingOrder="0" shrinkToFit="0" vertical="center" wrapText="1"/>
    </xf>
    <xf borderId="9" fillId="2" fontId="9" numFmtId="49" xfId="0" applyAlignment="1" applyBorder="1" applyFont="1" applyNumberFormat="1">
      <alignment horizontal="center" readingOrder="0" shrinkToFit="0" vertical="center" wrapText="1"/>
    </xf>
    <xf borderId="0" fillId="3" fontId="20" numFmtId="49" xfId="0" applyAlignment="1" applyFont="1" applyNumberFormat="1">
      <alignment horizontal="center" shrinkToFit="0" vertical="center" wrapText="1"/>
    </xf>
    <xf borderId="13" fillId="0" fontId="13" numFmtId="49" xfId="0" applyAlignment="1" applyBorder="1" applyFont="1" applyNumberFormat="1">
      <alignment horizontal="center"/>
    </xf>
    <xf borderId="13" fillId="0" fontId="13" numFmtId="49" xfId="0" applyAlignment="1" applyBorder="1" applyFont="1" applyNumberFormat="1">
      <alignment horizontal="center" readingOrder="0"/>
    </xf>
    <xf borderId="9" fillId="0" fontId="13" numFmtId="49" xfId="0" applyAlignment="1" applyBorder="1" applyFont="1" applyNumberFormat="1">
      <alignment readingOrder="0"/>
    </xf>
    <xf borderId="14" fillId="0" fontId="13" numFmtId="49" xfId="0" applyAlignment="1" applyBorder="1" applyFont="1" applyNumberFormat="1">
      <alignment readingOrder="0"/>
    </xf>
    <xf borderId="13" fillId="0" fontId="13" numFmtId="49" xfId="0" applyAlignment="1" applyBorder="1" applyFont="1" applyNumberFormat="1">
      <alignment readingOrder="0"/>
    </xf>
    <xf borderId="9" fillId="0" fontId="13" numFmtId="49" xfId="0" applyBorder="1" applyFont="1" applyNumberFormat="1"/>
    <xf borderId="14" fillId="0" fontId="13" numFmtId="49" xfId="0" applyBorder="1" applyFont="1" applyNumberFormat="1"/>
    <xf borderId="13" fillId="0" fontId="13" numFmtId="49" xfId="0" applyBorder="1" applyFont="1" applyNumberFormat="1"/>
    <xf borderId="0" fillId="0" fontId="12" numFmtId="49" xfId="0" applyAlignment="1" applyFont="1" applyNumberFormat="1">
      <alignment horizontal="left" readingOrder="0" shrinkToFit="0" vertical="center" wrapText="1"/>
    </xf>
    <xf borderId="0" fillId="0" fontId="13" numFmtId="49" xfId="0" applyFont="1" applyNumberFormat="1"/>
    <xf borderId="0" fillId="3" fontId="18" numFmtId="49" xfId="0" applyAlignment="1" applyFont="1" applyNumberFormat="1">
      <alignment horizontal="center" shrinkToFit="0" vertical="center" wrapText="1"/>
    </xf>
    <xf borderId="13" fillId="0" fontId="13" numFmtId="49" xfId="0" applyAlignment="1" applyBorder="1" applyFont="1" applyNumberFormat="1">
      <alignment horizontal="left" readingOrder="0" shrinkToFit="0" vertical="center" wrapText="1"/>
    </xf>
    <xf borderId="14" fillId="0" fontId="13" numFmtId="49" xfId="0" applyAlignment="1" applyBorder="1" applyFont="1" applyNumberFormat="1">
      <alignment horizontal="left" readingOrder="0" shrinkToFit="0" vertical="center" wrapText="1"/>
    </xf>
    <xf borderId="9" fillId="0" fontId="13" numFmtId="49" xfId="0" applyAlignment="1" applyBorder="1" applyFont="1" applyNumberFormat="1">
      <alignment horizontal="left" readingOrder="0" shrinkToFit="0" vertical="center" wrapText="1"/>
    </xf>
    <xf borderId="9" fillId="0" fontId="13" numFmtId="49" xfId="0" applyAlignment="1" applyBorder="1" applyFont="1" applyNumberFormat="1">
      <alignment readingOrder="0" shrinkToFit="0" wrapText="1"/>
    </xf>
    <xf borderId="10" fillId="0" fontId="13" numFmtId="49" xfId="0" applyAlignment="1" applyBorder="1" applyFont="1" applyNumberFormat="1">
      <alignment horizontal="left" readingOrder="0" shrinkToFit="0" vertical="center" wrapText="1"/>
    </xf>
    <xf borderId="9" fillId="3" fontId="19" numFmtId="0" xfId="0" applyAlignment="1" applyBorder="1" applyFont="1">
      <alignment horizontal="left" readingOrder="0" shrinkToFit="0" wrapText="1"/>
    </xf>
    <xf borderId="13" fillId="2" fontId="9" numFmtId="0" xfId="0" applyAlignment="1" applyBorder="1" applyFont="1">
      <alignment horizontal="left" readingOrder="0" shrinkToFit="0" wrapText="1"/>
    </xf>
    <xf borderId="10" fillId="3" fontId="19" numFmtId="165" xfId="0" applyAlignment="1" applyBorder="1" applyFont="1" applyNumberFormat="1">
      <alignment horizontal="left" readingOrder="0" shrinkToFit="0" wrapText="1"/>
    </xf>
    <xf borderId="9" fillId="0" fontId="13" numFmtId="0" xfId="0" applyAlignment="1" applyBorder="1" applyFont="1">
      <alignment horizontal="left" readingOrder="0"/>
    </xf>
    <xf borderId="13" fillId="2" fontId="9" numFmtId="0" xfId="0" applyAlignment="1" applyBorder="1" applyFont="1">
      <alignment horizontal="left" shrinkToFit="0" wrapText="1"/>
    </xf>
    <xf borderId="13" fillId="0" fontId="13" numFmtId="49" xfId="0" applyAlignment="1" applyBorder="1" applyFont="1" applyNumberFormat="1">
      <alignment horizontal="center" readingOrder="0" vertical="center"/>
    </xf>
    <xf borderId="0" fillId="0" fontId="21" numFmtId="0" xfId="0" applyFont="1"/>
    <xf borderId="0" fillId="0" fontId="21" numFmtId="9" xfId="0" applyFont="1" applyNumberFormat="1"/>
    <xf borderId="0" fillId="0" fontId="21" numFmtId="0" xfId="0" applyAlignment="1" applyFont="1">
      <alignment horizontal="right"/>
    </xf>
    <xf borderId="0" fillId="0" fontId="22" numFmtId="0" xfId="0" applyFont="1"/>
    <xf borderId="0" fillId="0" fontId="23" numFmtId="0" xfId="0" applyAlignment="1" applyFont="1">
      <alignment readingOrder="0"/>
    </xf>
    <xf borderId="0" fillId="0" fontId="23" numFmtId="0" xfId="0" applyFont="1"/>
    <xf borderId="0" fillId="0" fontId="23" numFmtId="0" xfId="0" applyAlignment="1" applyFont="1">
      <alignment horizontal="left" readingOrder="0"/>
    </xf>
    <xf borderId="13" fillId="2" fontId="23" numFmtId="0" xfId="0" applyAlignment="1" applyBorder="1" applyFont="1">
      <alignment horizontal="center"/>
    </xf>
    <xf borderId="13" fillId="2" fontId="23" numFmtId="0" xfId="0" applyAlignment="1" applyBorder="1" applyFont="1">
      <alignment horizontal="center" readingOrder="0"/>
    </xf>
    <xf borderId="0" fillId="0" fontId="24" numFmtId="0" xfId="0" applyFont="1"/>
    <xf borderId="13" fillId="2" fontId="25" numFmtId="0" xfId="0" applyAlignment="1" applyBorder="1" applyFont="1">
      <alignment horizontal="center"/>
    </xf>
    <xf borderId="0" fillId="3" fontId="22" numFmtId="0" xfId="0" applyFont="1"/>
    <xf borderId="13" fillId="3" fontId="22" numFmtId="0" xfId="0" applyBorder="1" applyFont="1"/>
    <xf borderId="13" fillId="3" fontId="26" numFmtId="0" xfId="0" applyBorder="1" applyFont="1"/>
    <xf borderId="13" fillId="3" fontId="22" numFmtId="0" xfId="0" applyAlignment="1" applyBorder="1" applyFont="1">
      <alignment readingOrder="0"/>
    </xf>
    <xf borderId="13" fillId="3" fontId="22" numFmtId="0" xfId="0" applyAlignment="1" applyBorder="1" applyFont="1">
      <alignment horizontal="right" readingOrder="0"/>
    </xf>
    <xf borderId="0" fillId="3" fontId="22" numFmtId="0" xfId="0" applyAlignment="1" applyFont="1">
      <alignment horizontal="right"/>
    </xf>
    <xf borderId="0" fillId="3" fontId="22" numFmtId="0" xfId="0" applyAlignment="1" applyFont="1">
      <alignment readingOrder="0"/>
    </xf>
    <xf borderId="0" fillId="3" fontId="21" numFmtId="0" xfId="0" applyFont="1"/>
    <xf borderId="0" fillId="3" fontId="21" numFmtId="0" xfId="0" applyAlignment="1" applyFont="1">
      <alignment horizontal="righ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4">
    <tableStyle count="3" pivot="0" name="Appendix-style">
      <tableStyleElement dxfId="1" type="headerRow"/>
      <tableStyleElement dxfId="2" type="firstRowStripe"/>
      <tableStyleElement dxfId="3" type="secondRowStripe"/>
    </tableStyle>
    <tableStyle count="3" pivot="0" name="Appendix-style 2">
      <tableStyleElement dxfId="4" type="headerRow"/>
      <tableStyleElement dxfId="2" type="firstRowStripe"/>
      <tableStyleElement dxfId="5" type="secondRowStripe"/>
    </tableStyle>
    <tableStyle count="3" pivot="0" name="Appendix-style 3">
      <tableStyleElement dxfId="1" type="headerRow"/>
      <tableStyleElement dxfId="2" type="firstRowStripe"/>
      <tableStyleElement dxfId="3" type="secondRowStripe"/>
    </tableStyle>
    <tableStyle count="3" pivot="0" name="Appendix-style 4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D8" displayName="Table_1" name="Table_1" id="1">
  <tableColumns count="3">
    <tableColumn name="#" id="1"/>
    <tableColumn name="タイトル_x000a_Title" id="2"/>
    <tableColumn name="説明_x000a_Description" id="3"/>
  </tableColumns>
  <tableStyleInfo name="Appendix-style" showColumnStripes="0" showFirstColumn="1" showLastColumn="1" showRowStripes="1"/>
</table>
</file>

<file path=xl/tables/table2.xml><?xml version="1.0" encoding="utf-8"?>
<table xmlns="http://schemas.openxmlformats.org/spreadsheetml/2006/main" ref="F3:H14" displayName="Table_2" name="Table_2" id="2">
  <tableColumns count="3">
    <tableColumn name="#" id="1"/>
    <tableColumn name="名前_x000a_Name" id="2"/>
    <tableColumn name="ポジション_x000a_Position" id="3"/>
  </tableColumns>
  <tableStyleInfo name="Appendix-style 2" showColumnStripes="0" showFirstColumn="1" showLastColumn="1" showRowStripes="1"/>
</table>
</file>

<file path=xl/tables/table3.xml><?xml version="1.0" encoding="utf-8"?>
<table xmlns="http://schemas.openxmlformats.org/spreadsheetml/2006/main" ref="J3:K8" displayName="Table_3" name="Table_3" id="3">
  <tableColumns count="2">
    <tableColumn name="#" id="1"/>
    <tableColumn name="Name" id="2"/>
  </tableColumns>
  <tableStyleInfo name="Appendix-style 3" showColumnStripes="0" showFirstColumn="1" showLastColumn="1" showRowStripes="1"/>
</table>
</file>

<file path=xl/tables/table4.xml><?xml version="1.0" encoding="utf-8"?>
<table xmlns="http://schemas.openxmlformats.org/spreadsheetml/2006/main" ref="M3:N8" displayName="Table_4" name="Table_4" id="4">
  <tableColumns count="2">
    <tableColumn name="#" id="1"/>
    <tableColumn name="Name" id="2"/>
  </tableColumns>
  <tableStyleInfo name="Appendix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al.vn/8xDZp6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5" width="13.38"/>
    <col customWidth="1" min="6" max="6" width="9.75"/>
    <col customWidth="1" min="7" max="7" width="15.5"/>
    <col customWidth="1" min="8" max="11" width="9.75"/>
    <col customWidth="1" min="12" max="12" width="17.25"/>
    <col customWidth="1" min="13" max="13" width="13.75"/>
    <col customWidth="1" min="14" max="14" width="14.38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4" t="s">
        <v>1</v>
      </c>
      <c r="M1" s="2"/>
      <c r="N1" s="5"/>
    </row>
    <row r="2" ht="22.5" customHeight="1">
      <c r="A2" s="6"/>
      <c r="E2" s="6"/>
      <c r="L2" s="7" t="s">
        <v>2</v>
      </c>
      <c r="N2" s="8"/>
    </row>
    <row r="3" ht="22.5" customHeight="1">
      <c r="A3" s="6"/>
      <c r="E3" s="6"/>
      <c r="L3" s="9" t="s">
        <v>3</v>
      </c>
      <c r="M3" s="10"/>
      <c r="N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 t="s">
        <v>5</v>
      </c>
      <c r="M4" s="10"/>
      <c r="N4" s="15"/>
    </row>
    <row r="5" ht="16.5" customHeight="1">
      <c r="A5" s="16"/>
      <c r="N5" s="17"/>
    </row>
    <row r="6" ht="31.5" customHeight="1">
      <c r="A6" s="18" t="s">
        <v>6</v>
      </c>
      <c r="N6" s="17"/>
    </row>
    <row r="7" ht="20.25" customHeight="1">
      <c r="A7" s="19" t="s">
        <v>7</v>
      </c>
      <c r="B7" s="20" t="s">
        <v>8</v>
      </c>
      <c r="C7" s="13"/>
      <c r="D7" s="21"/>
      <c r="E7" s="22" t="s">
        <v>9</v>
      </c>
      <c r="F7" s="20" t="s">
        <v>10</v>
      </c>
      <c r="G7" s="21"/>
      <c r="H7" s="20" t="s">
        <v>11</v>
      </c>
      <c r="I7" s="13"/>
      <c r="J7" s="13"/>
      <c r="K7" s="13"/>
      <c r="L7" s="21"/>
      <c r="M7" s="22" t="s">
        <v>12</v>
      </c>
      <c r="N7" s="23" t="s">
        <v>13</v>
      </c>
    </row>
    <row r="8">
      <c r="A8" s="24">
        <f t="shared" ref="A8:A17" si="1">row()-7</f>
        <v>1</v>
      </c>
      <c r="B8" s="25" t="s">
        <v>14</v>
      </c>
      <c r="C8" s="13"/>
      <c r="D8" s="21"/>
      <c r="E8" s="24" t="s">
        <v>15</v>
      </c>
      <c r="F8" s="25" t="s">
        <v>16</v>
      </c>
      <c r="G8" s="21"/>
      <c r="H8" s="26" t="s">
        <v>17</v>
      </c>
      <c r="I8" s="13"/>
      <c r="J8" s="13"/>
      <c r="K8" s="13"/>
      <c r="L8" s="21"/>
      <c r="M8" s="27">
        <v>44267.0</v>
      </c>
      <c r="N8" s="24" t="s">
        <v>18</v>
      </c>
    </row>
    <row r="9">
      <c r="A9" s="24">
        <f t="shared" si="1"/>
        <v>2</v>
      </c>
      <c r="B9" s="25"/>
      <c r="C9" s="13"/>
      <c r="D9" s="21"/>
      <c r="E9" s="24"/>
      <c r="F9" s="25"/>
      <c r="G9" s="21"/>
      <c r="H9" s="26"/>
      <c r="I9" s="13"/>
      <c r="J9" s="13"/>
      <c r="K9" s="13"/>
      <c r="L9" s="21"/>
      <c r="M9" s="27"/>
      <c r="N9" s="24"/>
    </row>
    <row r="10">
      <c r="A10" s="24">
        <f t="shared" si="1"/>
        <v>3</v>
      </c>
      <c r="B10" s="25"/>
      <c r="C10" s="13"/>
      <c r="D10" s="21"/>
      <c r="E10" s="24"/>
      <c r="F10" s="25"/>
      <c r="G10" s="21"/>
      <c r="H10" s="26"/>
      <c r="I10" s="13"/>
      <c r="J10" s="13"/>
      <c r="K10" s="13"/>
      <c r="L10" s="21"/>
      <c r="M10" s="27"/>
      <c r="N10" s="24"/>
    </row>
    <row r="11">
      <c r="A11" s="24">
        <f t="shared" si="1"/>
        <v>4</v>
      </c>
      <c r="B11" s="25"/>
      <c r="C11" s="13"/>
      <c r="D11" s="21"/>
      <c r="E11" s="24"/>
      <c r="F11" s="25"/>
      <c r="G11" s="21"/>
      <c r="H11" s="26"/>
      <c r="I11" s="13"/>
      <c r="J11" s="13"/>
      <c r="K11" s="13"/>
      <c r="L11" s="21"/>
      <c r="M11" s="27"/>
      <c r="N11" s="24"/>
    </row>
    <row r="12">
      <c r="A12" s="24">
        <f t="shared" si="1"/>
        <v>5</v>
      </c>
      <c r="B12" s="25"/>
      <c r="C12" s="13"/>
      <c r="D12" s="21"/>
      <c r="E12" s="24"/>
      <c r="F12" s="25"/>
      <c r="G12" s="21"/>
      <c r="H12" s="25"/>
      <c r="I12" s="13"/>
      <c r="J12" s="13"/>
      <c r="K12" s="13"/>
      <c r="L12" s="21"/>
      <c r="M12" s="24"/>
      <c r="N12" s="24"/>
    </row>
    <row r="13">
      <c r="A13" s="24">
        <f t="shared" si="1"/>
        <v>6</v>
      </c>
      <c r="B13" s="25"/>
      <c r="C13" s="13"/>
      <c r="D13" s="21"/>
      <c r="E13" s="24"/>
      <c r="F13" s="25"/>
      <c r="G13" s="21"/>
      <c r="H13" s="25"/>
      <c r="I13" s="13"/>
      <c r="J13" s="13"/>
      <c r="K13" s="13"/>
      <c r="L13" s="21"/>
      <c r="M13" s="24"/>
      <c r="N13" s="24"/>
    </row>
    <row r="14">
      <c r="A14" s="24">
        <f t="shared" si="1"/>
        <v>7</v>
      </c>
      <c r="B14" s="25"/>
      <c r="C14" s="13"/>
      <c r="D14" s="21"/>
      <c r="E14" s="24"/>
      <c r="F14" s="25"/>
      <c r="G14" s="21"/>
      <c r="H14" s="25"/>
      <c r="I14" s="13"/>
      <c r="J14" s="13"/>
      <c r="K14" s="13"/>
      <c r="L14" s="21"/>
      <c r="M14" s="24"/>
      <c r="N14" s="24"/>
    </row>
    <row r="15">
      <c r="A15" s="24">
        <f t="shared" si="1"/>
        <v>8</v>
      </c>
      <c r="B15" s="25"/>
      <c r="C15" s="13"/>
      <c r="D15" s="21"/>
      <c r="E15" s="24"/>
      <c r="F15" s="25"/>
      <c r="G15" s="21"/>
      <c r="H15" s="25"/>
      <c r="I15" s="13"/>
      <c r="J15" s="13"/>
      <c r="K15" s="13"/>
      <c r="L15" s="21"/>
      <c r="M15" s="24"/>
      <c r="N15" s="24"/>
    </row>
    <row r="16">
      <c r="A16" s="24">
        <f t="shared" si="1"/>
        <v>9</v>
      </c>
      <c r="B16" s="25"/>
      <c r="C16" s="13"/>
      <c r="D16" s="21"/>
      <c r="E16" s="24"/>
      <c r="F16" s="25"/>
      <c r="G16" s="21"/>
      <c r="H16" s="25"/>
      <c r="I16" s="13"/>
      <c r="J16" s="13"/>
      <c r="K16" s="13"/>
      <c r="L16" s="21"/>
      <c r="M16" s="24"/>
      <c r="N16" s="24"/>
    </row>
    <row r="17">
      <c r="A17" s="24">
        <f t="shared" si="1"/>
        <v>10</v>
      </c>
      <c r="B17" s="25"/>
      <c r="C17" s="13"/>
      <c r="D17" s="21"/>
      <c r="E17" s="24"/>
      <c r="F17" s="25"/>
      <c r="G17" s="21"/>
      <c r="H17" s="25"/>
      <c r="I17" s="13"/>
      <c r="J17" s="13"/>
      <c r="K17" s="13"/>
      <c r="L17" s="21"/>
      <c r="M17" s="24"/>
      <c r="N17" s="24"/>
    </row>
    <row r="18" ht="22.5" customHeight="1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0"/>
    </row>
  </sheetData>
  <mergeCells count="42">
    <mergeCell ref="A1:D3"/>
    <mergeCell ref="E1:K3"/>
    <mergeCell ref="L1:N1"/>
    <mergeCell ref="L2:N2"/>
    <mergeCell ref="L3:N3"/>
    <mergeCell ref="A4:K4"/>
    <mergeCell ref="L4:M4"/>
    <mergeCell ref="A5:N5"/>
    <mergeCell ref="A6:N6"/>
    <mergeCell ref="B7:D7"/>
    <mergeCell ref="F7:G7"/>
    <mergeCell ref="H7:L7"/>
    <mergeCell ref="F8:G8"/>
    <mergeCell ref="H8:L8"/>
    <mergeCell ref="F10:G10"/>
    <mergeCell ref="F11:G11"/>
    <mergeCell ref="F12:G12"/>
    <mergeCell ref="F13:G13"/>
    <mergeCell ref="F14:G14"/>
    <mergeCell ref="F15:G15"/>
    <mergeCell ref="F16:G16"/>
    <mergeCell ref="F17:G17"/>
    <mergeCell ref="B11:D11"/>
    <mergeCell ref="B12:D12"/>
    <mergeCell ref="B13:D13"/>
    <mergeCell ref="B14:D14"/>
    <mergeCell ref="B15:D15"/>
    <mergeCell ref="B16:D16"/>
    <mergeCell ref="B17:D17"/>
    <mergeCell ref="H12:L12"/>
    <mergeCell ref="H13:L13"/>
    <mergeCell ref="H14:L14"/>
    <mergeCell ref="H15:L15"/>
    <mergeCell ref="H16:L16"/>
    <mergeCell ref="H17:L17"/>
    <mergeCell ref="B8:D8"/>
    <mergeCell ref="B9:D9"/>
    <mergeCell ref="F9:G9"/>
    <mergeCell ref="H9:L9"/>
    <mergeCell ref="B10:D10"/>
    <mergeCell ref="H10:L10"/>
    <mergeCell ref="H11:L11"/>
  </mergeCells>
  <dataValidations>
    <dataValidation type="list" allowBlank="1" sqref="E8:E17">
      <formula1>Appendix!$C$4:$C$8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2.5"/>
    <col customWidth="1" min="5" max="5" width="15.63"/>
    <col customWidth="1" min="6" max="6" width="16.75"/>
    <col customWidth="1" min="7" max="7" width="15.5"/>
    <col customWidth="1" min="8" max="8" width="22.38"/>
    <col customWidth="1" min="9" max="9" width="12.38"/>
    <col customWidth="1" min="10" max="10" width="15.25"/>
    <col customWidth="1" min="11" max="11" width="13.38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21"/>
      <c r="J4" s="31" t="s">
        <v>5</v>
      </c>
      <c r="K4" s="11"/>
    </row>
    <row r="5" ht="16.5" customHeight="1">
      <c r="A5" s="16"/>
      <c r="K5" s="17"/>
    </row>
    <row r="6" ht="31.5" customHeight="1">
      <c r="A6" s="32" t="s">
        <v>19</v>
      </c>
      <c r="K6" s="17"/>
    </row>
    <row r="7" ht="20.25" customHeight="1">
      <c r="A7" s="33" t="s">
        <v>7</v>
      </c>
      <c r="B7" s="34" t="s">
        <v>20</v>
      </c>
      <c r="C7" s="2"/>
      <c r="D7" s="2"/>
      <c r="E7" s="2"/>
      <c r="F7" s="2"/>
      <c r="G7" s="5"/>
      <c r="H7" s="35" t="s">
        <v>21</v>
      </c>
      <c r="I7" s="5"/>
      <c r="J7" s="34" t="s">
        <v>22</v>
      </c>
      <c r="K7" s="5"/>
    </row>
    <row r="8">
      <c r="A8" s="36">
        <f t="shared" ref="A8:A16" si="1">row()-8</f>
        <v>0</v>
      </c>
      <c r="B8" s="37" t="s">
        <v>23</v>
      </c>
      <c r="C8" s="13"/>
      <c r="D8" s="13"/>
      <c r="E8" s="13"/>
      <c r="F8" s="13"/>
      <c r="G8" s="21"/>
      <c r="H8" s="37" t="s">
        <v>24</v>
      </c>
      <c r="I8" s="21"/>
      <c r="J8" s="37"/>
      <c r="K8" s="21"/>
    </row>
    <row r="9">
      <c r="A9" s="36">
        <f t="shared" si="1"/>
        <v>1</v>
      </c>
      <c r="B9" s="37" t="s">
        <v>25</v>
      </c>
      <c r="C9" s="13"/>
      <c r="D9" s="13"/>
      <c r="E9" s="13"/>
      <c r="F9" s="13"/>
      <c r="G9" s="21"/>
      <c r="H9" s="37" t="s">
        <v>24</v>
      </c>
      <c r="I9" s="21"/>
      <c r="J9" s="37"/>
      <c r="K9" s="21"/>
    </row>
    <row r="10">
      <c r="A10" s="36">
        <f t="shared" si="1"/>
        <v>2</v>
      </c>
      <c r="B10" s="37" t="s">
        <v>26</v>
      </c>
      <c r="C10" s="13"/>
      <c r="D10" s="13"/>
      <c r="E10" s="13"/>
      <c r="F10" s="13"/>
      <c r="G10" s="21"/>
      <c r="H10" s="38" t="s">
        <v>24</v>
      </c>
      <c r="I10" s="21"/>
      <c r="J10" s="39" t="s">
        <v>27</v>
      </c>
      <c r="K10" s="21"/>
    </row>
    <row r="11">
      <c r="A11" s="36">
        <f t="shared" si="1"/>
        <v>3</v>
      </c>
      <c r="B11" s="37" t="s">
        <v>28</v>
      </c>
      <c r="C11" s="13"/>
      <c r="D11" s="13"/>
      <c r="E11" s="13"/>
      <c r="F11" s="13"/>
      <c r="G11" s="21"/>
      <c r="H11" s="37" t="s">
        <v>29</v>
      </c>
      <c r="I11" s="21"/>
      <c r="J11" s="37"/>
      <c r="K11" s="21"/>
    </row>
    <row r="12">
      <c r="A12" s="36">
        <f t="shared" si="1"/>
        <v>4</v>
      </c>
      <c r="B12" s="37"/>
      <c r="C12" s="13"/>
      <c r="D12" s="13"/>
      <c r="E12" s="13"/>
      <c r="F12" s="13"/>
      <c r="G12" s="21"/>
      <c r="H12" s="38"/>
      <c r="I12" s="21"/>
      <c r="J12" s="37"/>
      <c r="K12" s="21"/>
    </row>
    <row r="13">
      <c r="A13" s="36">
        <f t="shared" si="1"/>
        <v>5</v>
      </c>
      <c r="B13" s="37"/>
      <c r="C13" s="13"/>
      <c r="D13" s="13"/>
      <c r="E13" s="13"/>
      <c r="F13" s="13"/>
      <c r="G13" s="21"/>
      <c r="H13" s="38"/>
      <c r="I13" s="21"/>
      <c r="J13" s="37"/>
      <c r="K13" s="21"/>
    </row>
    <row r="14">
      <c r="A14" s="36">
        <f t="shared" si="1"/>
        <v>6</v>
      </c>
      <c r="B14" s="37"/>
      <c r="C14" s="13"/>
      <c r="D14" s="13"/>
      <c r="E14" s="13"/>
      <c r="F14" s="13"/>
      <c r="G14" s="21"/>
      <c r="H14" s="38"/>
      <c r="I14" s="21"/>
      <c r="J14" s="37"/>
      <c r="K14" s="21"/>
    </row>
    <row r="15">
      <c r="A15" s="36">
        <f t="shared" si="1"/>
        <v>7</v>
      </c>
      <c r="B15" s="37"/>
      <c r="C15" s="13"/>
      <c r="D15" s="13"/>
      <c r="E15" s="13"/>
      <c r="F15" s="13"/>
      <c r="G15" s="21"/>
      <c r="H15" s="38"/>
      <c r="I15" s="21"/>
      <c r="J15" s="37"/>
      <c r="K15" s="21"/>
    </row>
    <row r="16">
      <c r="A16" s="36">
        <f t="shared" si="1"/>
        <v>8</v>
      </c>
      <c r="B16" s="37"/>
      <c r="C16" s="13"/>
      <c r="D16" s="13"/>
      <c r="E16" s="13"/>
      <c r="F16" s="13"/>
      <c r="G16" s="21"/>
      <c r="H16" s="38"/>
      <c r="I16" s="21"/>
      <c r="J16" s="38"/>
      <c r="K16" s="21"/>
    </row>
    <row r="17" ht="22.5" customHeight="1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0"/>
    </row>
  </sheetData>
  <mergeCells count="39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G7"/>
    <mergeCell ref="H7:I7"/>
    <mergeCell ref="J7:K7"/>
    <mergeCell ref="H8:I8"/>
    <mergeCell ref="J8:K8"/>
    <mergeCell ref="B8:G8"/>
    <mergeCell ref="B9:G9"/>
    <mergeCell ref="H9:I9"/>
    <mergeCell ref="J9:K9"/>
    <mergeCell ref="B10:G10"/>
    <mergeCell ref="H10:I10"/>
    <mergeCell ref="J10:K10"/>
    <mergeCell ref="H13:I13"/>
    <mergeCell ref="J13:K13"/>
    <mergeCell ref="B11:G11"/>
    <mergeCell ref="H11:I11"/>
    <mergeCell ref="J11:K11"/>
    <mergeCell ref="B12:G12"/>
    <mergeCell ref="H12:I12"/>
    <mergeCell ref="J12:K12"/>
    <mergeCell ref="B13:G13"/>
    <mergeCell ref="H16:I16"/>
    <mergeCell ref="J16:K16"/>
    <mergeCell ref="B14:G14"/>
    <mergeCell ref="H14:I14"/>
    <mergeCell ref="J14:K14"/>
    <mergeCell ref="B15:G15"/>
    <mergeCell ref="H15:I15"/>
    <mergeCell ref="J15:K15"/>
    <mergeCell ref="B16:G16"/>
  </mergeCells>
  <hyperlinks>
    <hyperlink display="Status code " location="'Status code'!A1" ref="J10"/>
  </hyperlink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2.5"/>
    <col customWidth="1" min="5" max="5" width="15.63"/>
    <col customWidth="1" min="6" max="6" width="16.75"/>
    <col customWidth="1" min="7" max="7" width="15.5"/>
    <col customWidth="1" min="8" max="8" width="15.25"/>
    <col customWidth="1" min="9" max="9" width="13.38"/>
  </cols>
  <sheetData>
    <row r="1" ht="22.5" customHeight="1">
      <c r="A1" s="40"/>
      <c r="B1" s="2"/>
      <c r="C1" s="2"/>
      <c r="D1" s="2"/>
      <c r="E1" s="3" t="s">
        <v>0</v>
      </c>
      <c r="F1" s="2"/>
      <c r="G1" s="2"/>
      <c r="H1" s="4" t="s">
        <v>1</v>
      </c>
      <c r="I1" s="5"/>
    </row>
    <row r="2" ht="22.5" customHeight="1">
      <c r="A2" s="6"/>
      <c r="E2" s="6"/>
      <c r="H2" s="7" t="s">
        <v>2</v>
      </c>
      <c r="I2" s="8"/>
    </row>
    <row r="3" ht="22.5" customHeight="1">
      <c r="A3" s="6"/>
      <c r="E3" s="6"/>
      <c r="H3" s="9" t="s">
        <v>3</v>
      </c>
      <c r="I3" s="11"/>
    </row>
    <row r="4">
      <c r="A4" s="12" t="s">
        <v>4</v>
      </c>
      <c r="B4" s="13"/>
      <c r="C4" s="13"/>
      <c r="D4" s="13"/>
      <c r="E4" s="13"/>
      <c r="F4" s="13"/>
      <c r="G4" s="21"/>
      <c r="H4" s="31" t="s">
        <v>5</v>
      </c>
      <c r="I4" s="11"/>
    </row>
    <row r="5" ht="16.5" customHeight="1">
      <c r="A5" s="16"/>
      <c r="I5" s="17"/>
    </row>
    <row r="6" ht="31.5" customHeight="1">
      <c r="A6" s="32" t="s">
        <v>30</v>
      </c>
      <c r="I6" s="17"/>
    </row>
    <row r="7" ht="31.5" customHeight="1">
      <c r="A7" s="41" t="s">
        <v>31</v>
      </c>
    </row>
    <row r="8" ht="31.5" customHeight="1"/>
    <row r="9" ht="31.5" customHeight="1"/>
    <row r="10" ht="20.25" customHeight="1">
      <c r="A10" s="33" t="s">
        <v>7</v>
      </c>
      <c r="B10" s="42" t="s">
        <v>32</v>
      </c>
      <c r="C10" s="21"/>
      <c r="D10" s="43" t="s">
        <v>33</v>
      </c>
      <c r="E10" s="13"/>
      <c r="F10" s="13"/>
      <c r="G10" s="21"/>
      <c r="H10" s="42" t="s">
        <v>22</v>
      </c>
      <c r="I10" s="21"/>
    </row>
    <row r="11">
      <c r="A11" s="36">
        <v>1.0</v>
      </c>
      <c r="B11" s="37">
        <v>200.0</v>
      </c>
      <c r="C11" s="21"/>
      <c r="D11" s="44" t="s">
        <v>34</v>
      </c>
      <c r="E11" s="13"/>
      <c r="F11" s="13"/>
      <c r="G11" s="21"/>
      <c r="H11" s="38" t="str">
        <f>'SamplePOST apiv1login'!C9</f>
        <v/>
      </c>
      <c r="I11" s="21"/>
    </row>
    <row r="12">
      <c r="A12" s="36">
        <v>2.0</v>
      </c>
      <c r="B12" s="37">
        <v>201.0</v>
      </c>
      <c r="C12" s="21"/>
      <c r="D12" s="44" t="s">
        <v>35</v>
      </c>
      <c r="E12" s="13"/>
      <c r="F12" s="13"/>
      <c r="G12" s="21"/>
      <c r="H12" s="38"/>
      <c r="I12" s="21"/>
    </row>
    <row r="13">
      <c r="A13" s="36">
        <v>3.0</v>
      </c>
      <c r="B13" s="37">
        <v>202.0</v>
      </c>
      <c r="C13" s="21"/>
      <c r="D13" s="44" t="s">
        <v>36</v>
      </c>
      <c r="E13" s="13"/>
      <c r="F13" s="13"/>
      <c r="G13" s="21"/>
      <c r="H13" s="38"/>
      <c r="I13" s="21"/>
    </row>
    <row r="14">
      <c r="A14" s="36">
        <v>4.0</v>
      </c>
      <c r="B14" s="37">
        <v>400.0</v>
      </c>
      <c r="C14" s="21"/>
      <c r="D14" s="44" t="s">
        <v>37</v>
      </c>
      <c r="E14" s="13"/>
      <c r="F14" s="13"/>
      <c r="G14" s="21"/>
      <c r="H14" s="38"/>
      <c r="I14" s="21"/>
    </row>
    <row r="15">
      <c r="A15" s="36">
        <v>5.0</v>
      </c>
      <c r="B15" s="37">
        <v>401.0</v>
      </c>
      <c r="C15" s="21"/>
      <c r="D15" s="44" t="s">
        <v>38</v>
      </c>
      <c r="E15" s="13"/>
      <c r="F15" s="13"/>
      <c r="G15" s="21"/>
      <c r="H15" s="38"/>
      <c r="I15" s="21"/>
    </row>
    <row r="16">
      <c r="A16" s="36">
        <v>6.0</v>
      </c>
      <c r="B16" s="37">
        <v>403.0</v>
      </c>
      <c r="C16" s="21"/>
      <c r="D16" s="44" t="s">
        <v>39</v>
      </c>
      <c r="E16" s="13"/>
      <c r="F16" s="13"/>
      <c r="G16" s="21"/>
      <c r="H16" s="38"/>
      <c r="I16" s="21"/>
    </row>
    <row r="17">
      <c r="A17" s="36">
        <v>7.0</v>
      </c>
      <c r="B17" s="37">
        <v>404.0</v>
      </c>
      <c r="C17" s="21"/>
      <c r="D17" s="44" t="s">
        <v>40</v>
      </c>
      <c r="E17" s="13"/>
      <c r="F17" s="13"/>
      <c r="G17" s="21"/>
      <c r="H17" s="38"/>
      <c r="I17" s="21"/>
    </row>
    <row r="18">
      <c r="A18" s="36">
        <v>8.0</v>
      </c>
      <c r="B18" s="37">
        <v>500.0</v>
      </c>
      <c r="C18" s="21"/>
      <c r="D18" s="44" t="s">
        <v>41</v>
      </c>
      <c r="E18" s="13"/>
      <c r="F18" s="13"/>
      <c r="G18" s="21"/>
      <c r="H18" s="38"/>
      <c r="I18" s="21"/>
    </row>
    <row r="19">
      <c r="A19" s="36">
        <v>9.0</v>
      </c>
      <c r="B19" s="37">
        <v>503.0</v>
      </c>
      <c r="C19" s="21"/>
      <c r="D19" s="44" t="s">
        <v>42</v>
      </c>
      <c r="E19" s="13"/>
      <c r="F19" s="13"/>
      <c r="G19" s="21"/>
      <c r="H19" s="38"/>
      <c r="I19" s="21"/>
    </row>
    <row r="20" ht="22.5" customHeight="1">
      <c r="A20" s="28"/>
      <c r="B20" s="29"/>
      <c r="C20" s="29"/>
      <c r="D20" s="29"/>
      <c r="E20" s="29"/>
      <c r="F20" s="29"/>
      <c r="G20" s="29"/>
      <c r="H20" s="29"/>
      <c r="I20" s="30"/>
    </row>
  </sheetData>
  <mergeCells count="40">
    <mergeCell ref="A1:D3"/>
    <mergeCell ref="E1:G3"/>
    <mergeCell ref="H1:I1"/>
    <mergeCell ref="H2:I2"/>
    <mergeCell ref="H3:I3"/>
    <mergeCell ref="A4:G4"/>
    <mergeCell ref="H4:I4"/>
    <mergeCell ref="D11:G11"/>
    <mergeCell ref="H11:I11"/>
    <mergeCell ref="A5:I5"/>
    <mergeCell ref="A6:I6"/>
    <mergeCell ref="A7:I9"/>
    <mergeCell ref="B10:C10"/>
    <mergeCell ref="D10:G10"/>
    <mergeCell ref="H10:I10"/>
    <mergeCell ref="B11:C11"/>
    <mergeCell ref="D14:G14"/>
    <mergeCell ref="H14:I14"/>
    <mergeCell ref="B12:C12"/>
    <mergeCell ref="D12:G12"/>
    <mergeCell ref="H12:I12"/>
    <mergeCell ref="B13:C13"/>
    <mergeCell ref="D13:G13"/>
    <mergeCell ref="H13:I13"/>
    <mergeCell ref="B14:C14"/>
    <mergeCell ref="D17:G17"/>
    <mergeCell ref="H17:I17"/>
    <mergeCell ref="B18:C18"/>
    <mergeCell ref="D18:G18"/>
    <mergeCell ref="H18:I18"/>
    <mergeCell ref="B19:C19"/>
    <mergeCell ref="D19:G19"/>
    <mergeCell ref="H19:I19"/>
    <mergeCell ref="B15:C15"/>
    <mergeCell ref="D15:G15"/>
    <mergeCell ref="H15:I15"/>
    <mergeCell ref="B16:C16"/>
    <mergeCell ref="D16:G16"/>
    <mergeCell ref="H16:I16"/>
    <mergeCell ref="B17:C17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2.5"/>
    <col customWidth="1" min="5" max="5" width="15.63"/>
    <col customWidth="1" min="6" max="6" width="16.75"/>
    <col customWidth="1" min="7" max="7" width="15.5"/>
    <col customWidth="1" min="8" max="8" width="22.38"/>
    <col customWidth="1" min="9" max="9" width="16.5"/>
    <col customWidth="1" min="10" max="10" width="15.25"/>
    <col customWidth="1" min="11" max="11" width="13.38"/>
  </cols>
  <sheetData>
    <row r="1" ht="22.5" customHeight="1">
      <c r="A1" s="45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1"/>
    </row>
    <row r="4">
      <c r="A4" s="12" t="s">
        <v>4</v>
      </c>
      <c r="B4" s="13"/>
      <c r="C4" s="13"/>
      <c r="D4" s="13"/>
      <c r="E4" s="13"/>
      <c r="F4" s="13"/>
      <c r="G4" s="13"/>
      <c r="H4" s="13"/>
      <c r="I4" s="21"/>
      <c r="J4" s="31" t="s">
        <v>5</v>
      </c>
      <c r="K4" s="11"/>
    </row>
    <row r="5" ht="16.5" customHeight="1">
      <c r="A5" s="16"/>
      <c r="K5" s="17"/>
    </row>
    <row r="6" ht="31.5" customHeight="1">
      <c r="A6" s="46" t="s">
        <v>43</v>
      </c>
      <c r="K6" s="17"/>
    </row>
    <row r="7" ht="20.25" customHeight="1">
      <c r="A7" s="33" t="s">
        <v>7</v>
      </c>
      <c r="B7" s="42" t="s">
        <v>44</v>
      </c>
      <c r="C7" s="13"/>
      <c r="D7" s="21"/>
      <c r="E7" s="33" t="s">
        <v>45</v>
      </c>
      <c r="F7" s="42" t="s">
        <v>46</v>
      </c>
      <c r="G7" s="21"/>
      <c r="H7" s="43" t="s">
        <v>47</v>
      </c>
      <c r="I7" s="21"/>
      <c r="J7" s="42" t="s">
        <v>22</v>
      </c>
      <c r="K7" s="21"/>
    </row>
    <row r="8">
      <c r="A8" s="36">
        <f t="shared" ref="A8:A16" si="1">row()-8</f>
        <v>0</v>
      </c>
      <c r="B8" s="47" t="s">
        <v>48</v>
      </c>
      <c r="C8" s="2"/>
      <c r="D8" s="5"/>
      <c r="E8" s="36" t="s">
        <v>49</v>
      </c>
      <c r="F8" s="48" t="s">
        <v>16</v>
      </c>
      <c r="G8" s="21"/>
      <c r="H8" s="37" t="s">
        <v>50</v>
      </c>
      <c r="I8" s="21"/>
      <c r="J8" s="38" t="str">
        <f>'SamplePOST apiv1login'!C9</f>
        <v/>
      </c>
      <c r="K8" s="21"/>
    </row>
    <row r="9">
      <c r="A9" s="36">
        <f t="shared" si="1"/>
        <v>1</v>
      </c>
      <c r="B9" s="6"/>
      <c r="D9" s="8"/>
      <c r="E9" s="36" t="s">
        <v>51</v>
      </c>
      <c r="F9" s="37"/>
      <c r="G9" s="21"/>
      <c r="H9" s="38"/>
      <c r="I9" s="21"/>
      <c r="J9" s="38"/>
      <c r="K9" s="21"/>
    </row>
    <row r="10">
      <c r="A10" s="36">
        <f t="shared" si="1"/>
        <v>2</v>
      </c>
      <c r="B10" s="49"/>
      <c r="C10" s="10"/>
      <c r="D10" s="11"/>
      <c r="E10" s="36" t="s">
        <v>52</v>
      </c>
      <c r="F10" s="37"/>
      <c r="G10" s="21"/>
      <c r="H10" s="38"/>
      <c r="I10" s="21"/>
      <c r="J10" s="38"/>
      <c r="K10" s="21"/>
    </row>
    <row r="11">
      <c r="A11" s="36">
        <f t="shared" si="1"/>
        <v>3</v>
      </c>
      <c r="B11" s="38"/>
      <c r="C11" s="13"/>
      <c r="D11" s="21"/>
      <c r="E11" s="36"/>
      <c r="F11" s="38"/>
      <c r="G11" s="21"/>
      <c r="H11" s="38"/>
      <c r="I11" s="21"/>
      <c r="J11" s="38"/>
      <c r="K11" s="21"/>
    </row>
    <row r="12">
      <c r="A12" s="36">
        <f t="shared" si="1"/>
        <v>4</v>
      </c>
      <c r="B12" s="38"/>
      <c r="C12" s="13"/>
      <c r="D12" s="21"/>
      <c r="E12" s="36"/>
      <c r="F12" s="38"/>
      <c r="G12" s="21"/>
      <c r="H12" s="38"/>
      <c r="I12" s="21"/>
      <c r="J12" s="38"/>
      <c r="K12" s="21"/>
    </row>
    <row r="13">
      <c r="A13" s="36">
        <f t="shared" si="1"/>
        <v>5</v>
      </c>
      <c r="B13" s="38"/>
      <c r="C13" s="13"/>
      <c r="D13" s="21"/>
      <c r="E13" s="36"/>
      <c r="F13" s="38"/>
      <c r="G13" s="21"/>
      <c r="H13" s="38"/>
      <c r="I13" s="21"/>
      <c r="J13" s="38"/>
      <c r="K13" s="21"/>
    </row>
    <row r="14">
      <c r="A14" s="36">
        <f t="shared" si="1"/>
        <v>6</v>
      </c>
      <c r="B14" s="38"/>
      <c r="C14" s="13"/>
      <c r="D14" s="21"/>
      <c r="E14" s="36"/>
      <c r="F14" s="38"/>
      <c r="G14" s="21"/>
      <c r="H14" s="38"/>
      <c r="I14" s="21"/>
      <c r="J14" s="38"/>
      <c r="K14" s="21"/>
    </row>
    <row r="15">
      <c r="A15" s="36">
        <f t="shared" si="1"/>
        <v>7</v>
      </c>
      <c r="B15" s="38"/>
      <c r="C15" s="13"/>
      <c r="D15" s="21"/>
      <c r="E15" s="36"/>
      <c r="F15" s="38"/>
      <c r="G15" s="21"/>
      <c r="H15" s="38"/>
      <c r="I15" s="21"/>
      <c r="J15" s="38"/>
      <c r="K15" s="21"/>
    </row>
    <row r="16">
      <c r="A16" s="36">
        <f t="shared" si="1"/>
        <v>8</v>
      </c>
      <c r="B16" s="38"/>
      <c r="C16" s="13"/>
      <c r="D16" s="21"/>
      <c r="E16" s="36"/>
      <c r="F16" s="38"/>
      <c r="G16" s="21"/>
      <c r="H16" s="38"/>
      <c r="I16" s="21"/>
      <c r="J16" s="38"/>
      <c r="K16" s="21"/>
    </row>
    <row r="17" ht="22.5" customHeight="1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0"/>
    </row>
  </sheetData>
  <mergeCells count="47">
    <mergeCell ref="F10:G10"/>
    <mergeCell ref="H10:I10"/>
    <mergeCell ref="F11:G11"/>
    <mergeCell ref="H11:I11"/>
    <mergeCell ref="J11:K11"/>
    <mergeCell ref="H12:I12"/>
    <mergeCell ref="J12:K12"/>
    <mergeCell ref="F12:G12"/>
    <mergeCell ref="F13:G13"/>
    <mergeCell ref="H13:I13"/>
    <mergeCell ref="J13:K13"/>
    <mergeCell ref="F14:G14"/>
    <mergeCell ref="H14:I14"/>
    <mergeCell ref="J14:K14"/>
    <mergeCell ref="A1:D3"/>
    <mergeCell ref="E1:I3"/>
    <mergeCell ref="J1:K1"/>
    <mergeCell ref="J2:K2"/>
    <mergeCell ref="J3:K3"/>
    <mergeCell ref="A4:I4"/>
    <mergeCell ref="J4:K4"/>
    <mergeCell ref="F8:G8"/>
    <mergeCell ref="H8:I8"/>
    <mergeCell ref="F7:G7"/>
    <mergeCell ref="F9:G9"/>
    <mergeCell ref="H9:I9"/>
    <mergeCell ref="J9:K9"/>
    <mergeCell ref="B8:D10"/>
    <mergeCell ref="B11:D11"/>
    <mergeCell ref="B12:D12"/>
    <mergeCell ref="B13:D13"/>
    <mergeCell ref="B14:D14"/>
    <mergeCell ref="B15:D15"/>
    <mergeCell ref="B16:D16"/>
    <mergeCell ref="A5:K5"/>
    <mergeCell ref="A6:K6"/>
    <mergeCell ref="B7:D7"/>
    <mergeCell ref="H7:I7"/>
    <mergeCell ref="J7:K7"/>
    <mergeCell ref="J8:K8"/>
    <mergeCell ref="J10:K10"/>
    <mergeCell ref="F15:G15"/>
    <mergeCell ref="H15:I15"/>
    <mergeCell ref="J15:K15"/>
    <mergeCell ref="F16:G16"/>
    <mergeCell ref="H16:I16"/>
    <mergeCell ref="J16:K16"/>
  </mergeCells>
  <hyperlinks>
    <hyperlink r:id="rId1" ref="F8"/>
  </hyperlinks>
  <printOptions horizontalCentered="1"/>
  <pageMargins bottom="0.75" footer="0.0" header="0.0" left="0.7" right="0.7" top="0.75"/>
  <pageSetup fitToHeight="0" paperSize="9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3.38"/>
    <col customWidth="1" min="3" max="3" width="13.5"/>
    <col customWidth="1" min="4" max="4" width="9.63"/>
    <col customWidth="1" min="5" max="5" width="13.38"/>
    <col customWidth="1" min="6" max="6" width="15.25"/>
    <col customWidth="1" min="7" max="7" width="12.25"/>
    <col customWidth="1" min="8" max="8" width="10.63"/>
    <col customWidth="1" min="9" max="9" width="7.38"/>
    <col customWidth="1" min="10" max="10" width="13.38"/>
    <col customWidth="1" min="11" max="11" width="7.13"/>
    <col customWidth="1" min="12" max="12" width="7.0"/>
    <col customWidth="1" min="13" max="13" width="7.38"/>
  </cols>
  <sheetData>
    <row r="1" ht="22.5" customHeight="1">
      <c r="A1" s="50"/>
      <c r="B1" s="2"/>
      <c r="C1" s="3" t="s">
        <v>0</v>
      </c>
      <c r="D1" s="2"/>
      <c r="E1" s="2"/>
      <c r="F1" s="2"/>
      <c r="G1" s="2"/>
      <c r="H1" s="2"/>
      <c r="I1" s="4" t="s">
        <v>1</v>
      </c>
      <c r="J1" s="2"/>
      <c r="K1" s="2"/>
      <c r="L1" s="5"/>
    </row>
    <row r="2" ht="22.5" customHeight="1">
      <c r="A2" s="6"/>
      <c r="C2" s="6"/>
      <c r="I2" s="7" t="s">
        <v>2</v>
      </c>
      <c r="L2" s="8"/>
    </row>
    <row r="3" ht="22.5" customHeight="1">
      <c r="A3" s="6"/>
      <c r="C3" s="6"/>
      <c r="I3" s="9" t="s">
        <v>3</v>
      </c>
      <c r="J3" s="10"/>
      <c r="K3" s="10"/>
      <c r="L3" s="11"/>
    </row>
    <row r="4">
      <c r="A4" s="12" t="s">
        <v>4</v>
      </c>
      <c r="B4" s="51"/>
      <c r="C4" s="51"/>
      <c r="D4" s="51"/>
      <c r="E4" s="51"/>
      <c r="F4" s="51"/>
      <c r="G4" s="51"/>
      <c r="H4" s="51"/>
      <c r="I4" s="52" t="s">
        <v>5</v>
      </c>
      <c r="J4" s="13"/>
      <c r="K4" s="13"/>
      <c r="L4" s="21"/>
    </row>
    <row r="5">
      <c r="A5" s="53"/>
    </row>
    <row r="6" ht="42.75" customHeight="1">
      <c r="A6" s="54" t="s">
        <v>53</v>
      </c>
      <c r="B6" s="55" t="s">
        <v>54</v>
      </c>
      <c r="C6" s="13"/>
      <c r="D6" s="21"/>
      <c r="E6" s="56"/>
      <c r="F6" s="13"/>
      <c r="G6" s="13"/>
      <c r="H6" s="13"/>
      <c r="I6" s="21"/>
      <c r="J6" s="57" t="s">
        <v>55</v>
      </c>
      <c r="K6" s="58"/>
      <c r="L6" s="21"/>
      <c r="M6" s="59"/>
    </row>
    <row r="7">
      <c r="A7" s="54"/>
      <c r="B7" s="55" t="s">
        <v>56</v>
      </c>
      <c r="C7" s="13"/>
      <c r="D7" s="21"/>
      <c r="E7" s="56"/>
      <c r="F7" s="13"/>
      <c r="G7" s="13"/>
      <c r="H7" s="13"/>
      <c r="I7" s="21"/>
      <c r="J7" s="57" t="s">
        <v>57</v>
      </c>
      <c r="K7" s="60"/>
      <c r="L7" s="21"/>
    </row>
    <row r="8">
      <c r="A8" s="54"/>
      <c r="B8" s="55" t="s">
        <v>58</v>
      </c>
      <c r="C8" s="13"/>
      <c r="D8" s="21"/>
      <c r="E8" s="56"/>
      <c r="F8" s="13"/>
      <c r="G8" s="13"/>
      <c r="H8" s="13"/>
      <c r="I8" s="21"/>
      <c r="J8" s="57" t="s">
        <v>59</v>
      </c>
      <c r="K8" s="58"/>
      <c r="L8" s="21"/>
    </row>
    <row r="9">
      <c r="A9" s="54"/>
      <c r="B9" s="55" t="s">
        <v>33</v>
      </c>
      <c r="C9" s="13"/>
      <c r="D9" s="21"/>
      <c r="E9" s="56"/>
      <c r="F9" s="13"/>
      <c r="G9" s="13"/>
      <c r="H9" s="13"/>
      <c r="I9" s="21"/>
      <c r="J9" s="57" t="s">
        <v>60</v>
      </c>
      <c r="K9" s="60"/>
      <c r="L9" s="21"/>
    </row>
    <row r="10" ht="22.5" customHeight="1">
      <c r="A10" s="54"/>
      <c r="B10" s="55" t="s">
        <v>61</v>
      </c>
      <c r="C10" s="13"/>
      <c r="D10" s="21"/>
      <c r="E10" s="56"/>
      <c r="F10" s="13"/>
      <c r="G10" s="13"/>
      <c r="H10" s="13"/>
      <c r="I10" s="21"/>
      <c r="J10" s="22"/>
      <c r="K10" s="60"/>
      <c r="L10" s="21"/>
      <c r="M10" s="59"/>
    </row>
    <row r="11" ht="31.5" customHeight="1">
      <c r="A11" s="61" t="s">
        <v>62</v>
      </c>
      <c r="M11" s="17"/>
    </row>
    <row r="12" ht="22.5" customHeight="1">
      <c r="A12" s="62" t="s">
        <v>63</v>
      </c>
      <c r="B12" s="63" t="s">
        <v>64</v>
      </c>
      <c r="C12" s="64" t="s">
        <v>65</v>
      </c>
      <c r="D12" s="13"/>
      <c r="E12" s="63" t="s">
        <v>66</v>
      </c>
      <c r="F12" s="63" t="s">
        <v>67</v>
      </c>
      <c r="G12" s="64" t="s">
        <v>68</v>
      </c>
      <c r="H12" s="21"/>
      <c r="I12" s="64" t="s">
        <v>69</v>
      </c>
      <c r="J12" s="13"/>
      <c r="K12" s="13"/>
      <c r="L12" s="21"/>
      <c r="M12" s="65"/>
    </row>
    <row r="13">
      <c r="A13" s="66">
        <f t="shared" ref="A13:A22" si="1">ROW()-12</f>
        <v>1</v>
      </c>
      <c r="B13" s="67"/>
      <c r="C13" s="68"/>
      <c r="D13" s="21"/>
      <c r="E13" s="69"/>
      <c r="F13" s="70"/>
      <c r="G13" s="71"/>
      <c r="H13" s="21"/>
      <c r="I13" s="68"/>
      <c r="J13" s="13"/>
      <c r="K13" s="13"/>
      <c r="L13" s="21"/>
    </row>
    <row r="14">
      <c r="A14" s="66">
        <f t="shared" si="1"/>
        <v>2</v>
      </c>
      <c r="B14" s="67"/>
      <c r="C14" s="68"/>
      <c r="D14" s="21"/>
      <c r="E14" s="69"/>
      <c r="F14" s="70"/>
      <c r="G14" s="71"/>
      <c r="H14" s="21"/>
      <c r="I14" s="68"/>
      <c r="J14" s="13"/>
      <c r="K14" s="13"/>
      <c r="L14" s="21"/>
    </row>
    <row r="15">
      <c r="A15" s="66">
        <f t="shared" si="1"/>
        <v>3</v>
      </c>
      <c r="B15" s="67"/>
      <c r="C15" s="68"/>
      <c r="D15" s="21"/>
      <c r="E15" s="69"/>
      <c r="F15" s="70"/>
      <c r="G15" s="71"/>
      <c r="H15" s="21"/>
      <c r="I15" s="68"/>
      <c r="J15" s="13"/>
      <c r="K15" s="13"/>
      <c r="L15" s="21"/>
    </row>
    <row r="16">
      <c r="A16" s="66">
        <f t="shared" si="1"/>
        <v>4</v>
      </c>
      <c r="B16" s="66"/>
      <c r="C16" s="68"/>
      <c r="D16" s="21"/>
      <c r="E16" s="72"/>
      <c r="F16" s="73"/>
      <c r="G16" s="71"/>
      <c r="H16" s="21"/>
      <c r="I16" s="68"/>
      <c r="J16" s="13"/>
      <c r="K16" s="13"/>
      <c r="L16" s="21"/>
    </row>
    <row r="17">
      <c r="A17" s="66">
        <f t="shared" si="1"/>
        <v>5</v>
      </c>
      <c r="B17" s="66"/>
      <c r="C17" s="68"/>
      <c r="D17" s="21"/>
      <c r="E17" s="72"/>
      <c r="F17" s="73"/>
      <c r="G17" s="71"/>
      <c r="H17" s="21"/>
      <c r="I17" s="68"/>
      <c r="J17" s="13"/>
      <c r="K17" s="13"/>
      <c r="L17" s="21"/>
    </row>
    <row r="18">
      <c r="A18" s="66">
        <f t="shared" si="1"/>
        <v>6</v>
      </c>
      <c r="B18" s="66"/>
      <c r="C18" s="68"/>
      <c r="D18" s="21"/>
      <c r="E18" s="72"/>
      <c r="F18" s="73"/>
      <c r="G18" s="71"/>
      <c r="H18" s="21"/>
      <c r="I18" s="68"/>
      <c r="J18" s="13"/>
      <c r="K18" s="13"/>
      <c r="L18" s="21"/>
    </row>
    <row r="19">
      <c r="A19" s="66">
        <f t="shared" si="1"/>
        <v>7</v>
      </c>
      <c r="B19" s="66"/>
      <c r="C19" s="68"/>
      <c r="D19" s="21"/>
      <c r="E19" s="72"/>
      <c r="F19" s="73"/>
      <c r="G19" s="71"/>
      <c r="H19" s="21"/>
      <c r="I19" s="68"/>
      <c r="J19" s="13"/>
      <c r="K19" s="13"/>
      <c r="L19" s="21"/>
    </row>
    <row r="20">
      <c r="A20" s="66">
        <f t="shared" si="1"/>
        <v>8</v>
      </c>
      <c r="B20" s="66"/>
      <c r="C20" s="68"/>
      <c r="D20" s="21"/>
      <c r="E20" s="72"/>
      <c r="F20" s="73"/>
      <c r="G20" s="71"/>
      <c r="H20" s="21"/>
      <c r="I20" s="68"/>
      <c r="J20" s="13"/>
      <c r="K20" s="13"/>
      <c r="L20" s="21"/>
    </row>
    <row r="21">
      <c r="A21" s="66">
        <f t="shared" si="1"/>
        <v>9</v>
      </c>
      <c r="B21" s="66"/>
      <c r="C21" s="68"/>
      <c r="D21" s="21"/>
      <c r="E21" s="72"/>
      <c r="F21" s="73"/>
      <c r="G21" s="71"/>
      <c r="H21" s="21"/>
      <c r="I21" s="68"/>
      <c r="J21" s="13"/>
      <c r="K21" s="13"/>
      <c r="L21" s="21"/>
    </row>
    <row r="22">
      <c r="A22" s="66">
        <f t="shared" si="1"/>
        <v>10</v>
      </c>
      <c r="B22" s="66"/>
      <c r="C22" s="68"/>
      <c r="D22" s="21"/>
      <c r="E22" s="72"/>
      <c r="F22" s="73"/>
      <c r="G22" s="71"/>
      <c r="H22" s="21"/>
      <c r="I22" s="68"/>
      <c r="J22" s="13"/>
      <c r="K22" s="13"/>
      <c r="L22" s="21"/>
    </row>
    <row r="23" ht="22.5" customHeight="1">
      <c r="A23" s="74"/>
      <c r="B23" s="74"/>
      <c r="C23" s="75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ht="22.5" customHeight="1">
      <c r="A24" s="74"/>
      <c r="B24" s="74"/>
      <c r="C24" s="75"/>
      <c r="D24" s="74"/>
      <c r="E24" s="74"/>
      <c r="F24" s="74"/>
      <c r="G24" s="74"/>
      <c r="H24" s="74"/>
      <c r="I24" s="74"/>
      <c r="J24" s="74"/>
      <c r="K24" s="74"/>
      <c r="L24" s="74"/>
      <c r="M24" s="74"/>
    </row>
    <row r="25" ht="22.5" customHeight="1">
      <c r="A25" s="61" t="s">
        <v>70</v>
      </c>
      <c r="M25" s="17"/>
    </row>
    <row r="26" ht="22.5" customHeight="1">
      <c r="A26" s="62" t="s">
        <v>63</v>
      </c>
      <c r="B26" s="63" t="s">
        <v>71</v>
      </c>
      <c r="C26" s="63" t="s">
        <v>68</v>
      </c>
      <c r="D26" s="64" t="s">
        <v>72</v>
      </c>
      <c r="E26" s="13"/>
      <c r="F26" s="13"/>
      <c r="G26" s="13"/>
      <c r="H26" s="21"/>
      <c r="I26" s="64" t="s">
        <v>69</v>
      </c>
      <c r="J26" s="13"/>
      <c r="K26" s="13"/>
      <c r="L26" s="21"/>
      <c r="M26" s="76"/>
    </row>
    <row r="27">
      <c r="A27" s="67" t="s">
        <v>73</v>
      </c>
      <c r="B27" s="77"/>
      <c r="C27" s="78"/>
      <c r="D27" s="79"/>
      <c r="E27" s="13"/>
      <c r="F27" s="13"/>
      <c r="G27" s="13"/>
      <c r="H27" s="21"/>
      <c r="I27" s="80"/>
      <c r="J27" s="13"/>
      <c r="K27" s="13"/>
      <c r="L27" s="21"/>
      <c r="M27" s="76"/>
    </row>
    <row r="28">
      <c r="A28" s="67" t="s">
        <v>74</v>
      </c>
      <c r="B28" s="79"/>
      <c r="C28" s="77"/>
      <c r="D28" s="81"/>
      <c r="E28" s="13"/>
      <c r="F28" s="13"/>
      <c r="G28" s="13"/>
      <c r="H28" s="21"/>
      <c r="I28" s="79"/>
      <c r="J28" s="13"/>
      <c r="K28" s="13"/>
      <c r="L28" s="21"/>
      <c r="M28" s="76"/>
    </row>
    <row r="29">
      <c r="A29" s="67" t="s">
        <v>75</v>
      </c>
      <c r="B29" s="79"/>
      <c r="C29" s="77"/>
      <c r="D29" s="81"/>
      <c r="E29" s="13"/>
      <c r="F29" s="13"/>
      <c r="G29" s="13"/>
      <c r="H29" s="21"/>
      <c r="I29" s="79"/>
      <c r="J29" s="13"/>
      <c r="K29" s="13"/>
      <c r="L29" s="21"/>
      <c r="M29" s="76"/>
    </row>
    <row r="30" ht="22.5" customHeight="1">
      <c r="A30" s="74"/>
      <c r="B30" s="74"/>
      <c r="C30" s="75"/>
      <c r="D30" s="74"/>
      <c r="E30" s="74"/>
      <c r="F30" s="74"/>
      <c r="G30" s="74"/>
      <c r="H30" s="74"/>
      <c r="I30" s="74"/>
      <c r="J30" s="74"/>
      <c r="K30" s="74"/>
      <c r="L30" s="74"/>
      <c r="M30" s="76"/>
    </row>
  </sheetData>
  <mergeCells count="67">
    <mergeCell ref="G17:H17"/>
    <mergeCell ref="G18:H18"/>
    <mergeCell ref="G14:H14"/>
    <mergeCell ref="I14:L14"/>
    <mergeCell ref="G15:H15"/>
    <mergeCell ref="I15:L15"/>
    <mergeCell ref="G16:H16"/>
    <mergeCell ref="I16:L16"/>
    <mergeCell ref="I17:L17"/>
    <mergeCell ref="I18:L18"/>
    <mergeCell ref="G20:H20"/>
    <mergeCell ref="I20:L20"/>
    <mergeCell ref="C16:D16"/>
    <mergeCell ref="C17:D17"/>
    <mergeCell ref="C18:D18"/>
    <mergeCell ref="C19:D19"/>
    <mergeCell ref="G19:H19"/>
    <mergeCell ref="I19:L19"/>
    <mergeCell ref="C20:D20"/>
    <mergeCell ref="A1:B3"/>
    <mergeCell ref="C1:H3"/>
    <mergeCell ref="I1:L1"/>
    <mergeCell ref="I2:L2"/>
    <mergeCell ref="I3:L3"/>
    <mergeCell ref="I4:L4"/>
    <mergeCell ref="A5:M5"/>
    <mergeCell ref="B8:D8"/>
    <mergeCell ref="E8:I8"/>
    <mergeCell ref="K8:L8"/>
    <mergeCell ref="K9:L9"/>
    <mergeCell ref="M12:M22"/>
    <mergeCell ref="B6:D6"/>
    <mergeCell ref="E6:I6"/>
    <mergeCell ref="K6:L6"/>
    <mergeCell ref="M6:M9"/>
    <mergeCell ref="E7:I7"/>
    <mergeCell ref="K7:L7"/>
    <mergeCell ref="E9:I9"/>
    <mergeCell ref="E10:I10"/>
    <mergeCell ref="K10:L10"/>
    <mergeCell ref="A11:M11"/>
    <mergeCell ref="G12:H12"/>
    <mergeCell ref="I12:L12"/>
    <mergeCell ref="G13:H13"/>
    <mergeCell ref="I13:L13"/>
    <mergeCell ref="B7:D7"/>
    <mergeCell ref="B9:D9"/>
    <mergeCell ref="B10:D10"/>
    <mergeCell ref="C12:D12"/>
    <mergeCell ref="C13:D13"/>
    <mergeCell ref="C14:D14"/>
    <mergeCell ref="C15:D15"/>
    <mergeCell ref="D26:H26"/>
    <mergeCell ref="I26:L26"/>
    <mergeCell ref="D27:H27"/>
    <mergeCell ref="I27:L27"/>
    <mergeCell ref="D28:H28"/>
    <mergeCell ref="I28:L28"/>
    <mergeCell ref="D29:H29"/>
    <mergeCell ref="I29:L29"/>
    <mergeCell ref="C21:D21"/>
    <mergeCell ref="G21:H21"/>
    <mergeCell ref="I21:L21"/>
    <mergeCell ref="C22:D22"/>
    <mergeCell ref="G22:H22"/>
    <mergeCell ref="I22:L22"/>
    <mergeCell ref="A25:M25"/>
  </mergeCells>
  <dataValidations>
    <dataValidation type="list" allowBlank="1" sqref="E13:E22">
      <formula1>Appendix!$K$4:$K$8</formula1>
    </dataValidation>
    <dataValidation type="list" allowBlank="1" sqref="B13:B22">
      <formula1>Appendix!$N$4:$N$8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7.13"/>
    <col customWidth="1" min="3" max="3" width="13.5"/>
    <col customWidth="1" min="4" max="4" width="9.63"/>
    <col customWidth="1" min="5" max="5" width="13.38"/>
    <col customWidth="1" min="6" max="6" width="15.25"/>
    <col customWidth="1" min="7" max="7" width="12.25"/>
    <col customWidth="1" min="8" max="8" width="10.63"/>
    <col customWidth="1" min="9" max="9" width="7.38"/>
    <col customWidth="1" min="10" max="10" width="13.38"/>
    <col customWidth="1" min="11" max="11" width="7.13"/>
    <col customWidth="1" min="12" max="12" width="7.0"/>
    <col customWidth="1" min="13" max="13" width="7.38"/>
  </cols>
  <sheetData>
    <row r="1" ht="22.5" customHeight="1">
      <c r="A1" s="1"/>
      <c r="B1" s="2"/>
      <c r="C1" s="2"/>
      <c r="D1" s="3" t="s">
        <v>0</v>
      </c>
      <c r="E1" s="2"/>
      <c r="F1" s="2"/>
      <c r="G1" s="2"/>
      <c r="H1" s="2"/>
      <c r="I1" s="4" t="s">
        <v>1</v>
      </c>
      <c r="J1" s="2"/>
      <c r="K1" s="2"/>
      <c r="L1" s="5"/>
    </row>
    <row r="2" ht="22.5" customHeight="1">
      <c r="A2" s="6"/>
      <c r="D2" s="6"/>
      <c r="I2" s="7" t="s">
        <v>2</v>
      </c>
      <c r="L2" s="8"/>
    </row>
    <row r="3" ht="22.5" customHeight="1">
      <c r="A3" s="6"/>
      <c r="D3" s="6"/>
      <c r="I3" s="9" t="s">
        <v>3</v>
      </c>
      <c r="J3" s="10"/>
      <c r="K3" s="10"/>
      <c r="L3" s="11"/>
    </row>
    <row r="4">
      <c r="A4" s="12" t="s">
        <v>4</v>
      </c>
      <c r="B4" s="13"/>
      <c r="C4" s="13"/>
      <c r="D4" s="13"/>
      <c r="E4" s="13"/>
      <c r="F4" s="13"/>
      <c r="G4" s="13"/>
      <c r="H4" s="21"/>
      <c r="I4" s="52" t="s">
        <v>5</v>
      </c>
      <c r="J4" s="13"/>
      <c r="K4" s="13"/>
      <c r="L4" s="21"/>
    </row>
    <row r="5">
      <c r="A5" s="53"/>
    </row>
    <row r="6" ht="34.5" customHeight="1">
      <c r="A6" s="54" t="s">
        <v>53</v>
      </c>
      <c r="B6" s="55" t="s">
        <v>54</v>
      </c>
      <c r="C6" s="13"/>
      <c r="D6" s="21"/>
      <c r="E6" s="82" t="s">
        <v>76</v>
      </c>
      <c r="F6" s="13"/>
      <c r="G6" s="13"/>
      <c r="H6" s="13"/>
      <c r="I6" s="21"/>
      <c r="J6" s="83" t="s">
        <v>77</v>
      </c>
      <c r="K6" s="84">
        <v>44270.0</v>
      </c>
      <c r="L6" s="21"/>
      <c r="M6" s="59"/>
    </row>
    <row r="7">
      <c r="A7" s="54"/>
      <c r="B7" s="55" t="s">
        <v>56</v>
      </c>
      <c r="C7" s="13"/>
      <c r="D7" s="21"/>
      <c r="E7" s="82" t="s">
        <v>78</v>
      </c>
      <c r="F7" s="13"/>
      <c r="G7" s="13"/>
      <c r="H7" s="13"/>
      <c r="I7" s="21"/>
      <c r="J7" s="83" t="s">
        <v>79</v>
      </c>
      <c r="K7" s="85" t="s">
        <v>80</v>
      </c>
      <c r="L7" s="21"/>
    </row>
    <row r="8">
      <c r="A8" s="54"/>
      <c r="B8" s="55" t="s">
        <v>58</v>
      </c>
      <c r="C8" s="13"/>
      <c r="D8" s="21"/>
      <c r="E8" s="82" t="s">
        <v>81</v>
      </c>
      <c r="F8" s="13"/>
      <c r="G8" s="13"/>
      <c r="H8" s="13"/>
      <c r="I8" s="21"/>
      <c r="J8" s="83" t="s">
        <v>82</v>
      </c>
      <c r="K8" s="84">
        <v>44270.0</v>
      </c>
      <c r="L8" s="21"/>
    </row>
    <row r="9">
      <c r="A9" s="54"/>
      <c r="B9" s="55" t="s">
        <v>33</v>
      </c>
      <c r="C9" s="13"/>
      <c r="D9" s="21"/>
      <c r="E9" s="82" t="s">
        <v>83</v>
      </c>
      <c r="F9" s="13"/>
      <c r="G9" s="13"/>
      <c r="H9" s="13"/>
      <c r="I9" s="21"/>
      <c r="J9" s="83" t="s">
        <v>84</v>
      </c>
      <c r="K9" s="85" t="s">
        <v>80</v>
      </c>
      <c r="L9" s="21"/>
    </row>
    <row r="10">
      <c r="A10" s="54"/>
      <c r="B10" s="55" t="s">
        <v>61</v>
      </c>
      <c r="C10" s="13"/>
      <c r="D10" s="21"/>
      <c r="E10" s="82" t="s">
        <v>85</v>
      </c>
      <c r="F10" s="13"/>
      <c r="G10" s="13"/>
      <c r="H10" s="13"/>
      <c r="I10" s="21"/>
      <c r="J10" s="86"/>
      <c r="K10" s="85"/>
      <c r="L10" s="21"/>
      <c r="M10" s="59"/>
    </row>
    <row r="11" ht="31.5" customHeight="1">
      <c r="A11" s="61" t="s">
        <v>62</v>
      </c>
      <c r="M11" s="17"/>
    </row>
    <row r="12" ht="22.5" customHeight="1">
      <c r="A12" s="62" t="s">
        <v>63</v>
      </c>
      <c r="B12" s="63" t="s">
        <v>64</v>
      </c>
      <c r="C12" s="64" t="s">
        <v>65</v>
      </c>
      <c r="D12" s="13"/>
      <c r="E12" s="63" t="s">
        <v>66</v>
      </c>
      <c r="F12" s="63" t="s">
        <v>67</v>
      </c>
      <c r="G12" s="64" t="s">
        <v>68</v>
      </c>
      <c r="H12" s="21"/>
      <c r="I12" s="64" t="s">
        <v>86</v>
      </c>
      <c r="J12" s="13"/>
      <c r="K12" s="13"/>
      <c r="L12" s="21"/>
      <c r="M12" s="65"/>
    </row>
    <row r="13" ht="22.5" customHeight="1">
      <c r="A13" s="66">
        <f t="shared" ref="A13:A22" si="1">ROW()-12</f>
        <v>1</v>
      </c>
      <c r="B13" s="67" t="s">
        <v>87</v>
      </c>
      <c r="C13" s="68" t="s">
        <v>88</v>
      </c>
      <c r="D13" s="21"/>
      <c r="E13" s="69" t="s">
        <v>89</v>
      </c>
      <c r="F13" s="70" t="s">
        <v>90</v>
      </c>
      <c r="G13" s="71"/>
      <c r="H13" s="21"/>
      <c r="I13" s="68"/>
      <c r="J13" s="13"/>
      <c r="K13" s="13"/>
      <c r="L13" s="21"/>
    </row>
    <row r="14" ht="22.5" customHeight="1">
      <c r="A14" s="66">
        <f t="shared" si="1"/>
        <v>2</v>
      </c>
      <c r="B14" s="67" t="s">
        <v>87</v>
      </c>
      <c r="C14" s="68" t="s">
        <v>91</v>
      </c>
      <c r="D14" s="21"/>
      <c r="E14" s="69" t="s">
        <v>89</v>
      </c>
      <c r="F14" s="70" t="s">
        <v>92</v>
      </c>
      <c r="G14" s="71"/>
      <c r="H14" s="21"/>
      <c r="I14" s="68"/>
      <c r="J14" s="13"/>
      <c r="K14" s="13"/>
      <c r="L14" s="21"/>
    </row>
    <row r="15" ht="22.5" customHeight="1">
      <c r="A15" s="66">
        <f t="shared" si="1"/>
        <v>3</v>
      </c>
      <c r="B15" s="67" t="s">
        <v>93</v>
      </c>
      <c r="C15" s="68" t="s">
        <v>94</v>
      </c>
      <c r="D15" s="21"/>
      <c r="E15" s="69" t="s">
        <v>89</v>
      </c>
      <c r="F15" s="70" t="s">
        <v>95</v>
      </c>
      <c r="G15" s="71"/>
      <c r="H15" s="21"/>
      <c r="I15" s="68" t="s">
        <v>96</v>
      </c>
      <c r="J15" s="13"/>
      <c r="K15" s="13"/>
      <c r="L15" s="21"/>
    </row>
    <row r="16" ht="22.5" customHeight="1">
      <c r="A16" s="66">
        <f t="shared" si="1"/>
        <v>4</v>
      </c>
      <c r="B16" s="66"/>
      <c r="C16" s="68"/>
      <c r="D16" s="21"/>
      <c r="E16" s="72"/>
      <c r="F16" s="73"/>
      <c r="G16" s="71"/>
      <c r="H16" s="21"/>
      <c r="I16" s="68"/>
      <c r="J16" s="13"/>
      <c r="K16" s="13"/>
      <c r="L16" s="21"/>
    </row>
    <row r="17" ht="22.5" customHeight="1">
      <c r="A17" s="66">
        <f t="shared" si="1"/>
        <v>5</v>
      </c>
      <c r="B17" s="66"/>
      <c r="C17" s="68"/>
      <c r="D17" s="21"/>
      <c r="E17" s="72"/>
      <c r="F17" s="73"/>
      <c r="G17" s="71"/>
      <c r="H17" s="21"/>
      <c r="I17" s="68"/>
      <c r="J17" s="13"/>
      <c r="K17" s="13"/>
      <c r="L17" s="21"/>
    </row>
    <row r="18" ht="22.5" customHeight="1">
      <c r="A18" s="66">
        <f t="shared" si="1"/>
        <v>6</v>
      </c>
      <c r="B18" s="66"/>
      <c r="C18" s="68"/>
      <c r="D18" s="21"/>
      <c r="E18" s="72"/>
      <c r="F18" s="73"/>
      <c r="G18" s="71"/>
      <c r="H18" s="21"/>
      <c r="I18" s="68"/>
      <c r="J18" s="13"/>
      <c r="K18" s="13"/>
      <c r="L18" s="21"/>
    </row>
    <row r="19" ht="22.5" customHeight="1">
      <c r="A19" s="66">
        <f t="shared" si="1"/>
        <v>7</v>
      </c>
      <c r="B19" s="66"/>
      <c r="C19" s="68"/>
      <c r="D19" s="21"/>
      <c r="E19" s="72"/>
      <c r="F19" s="73"/>
      <c r="G19" s="71"/>
      <c r="H19" s="21"/>
      <c r="I19" s="68"/>
      <c r="J19" s="13"/>
      <c r="K19" s="13"/>
      <c r="L19" s="21"/>
    </row>
    <row r="20" ht="22.5" customHeight="1">
      <c r="A20" s="66">
        <f t="shared" si="1"/>
        <v>8</v>
      </c>
      <c r="B20" s="66"/>
      <c r="C20" s="68"/>
      <c r="D20" s="21"/>
      <c r="E20" s="72"/>
      <c r="F20" s="73"/>
      <c r="G20" s="71"/>
      <c r="H20" s="21"/>
      <c r="I20" s="68"/>
      <c r="J20" s="13"/>
      <c r="K20" s="13"/>
      <c r="L20" s="21"/>
    </row>
    <row r="21" ht="22.5" customHeight="1">
      <c r="A21" s="66">
        <f t="shared" si="1"/>
        <v>9</v>
      </c>
      <c r="B21" s="66"/>
      <c r="C21" s="68"/>
      <c r="D21" s="21"/>
      <c r="E21" s="72"/>
      <c r="F21" s="73"/>
      <c r="G21" s="71"/>
      <c r="H21" s="21"/>
      <c r="I21" s="68"/>
      <c r="J21" s="13"/>
      <c r="K21" s="13"/>
      <c r="L21" s="21"/>
    </row>
    <row r="22" ht="22.5" customHeight="1">
      <c r="A22" s="66">
        <f t="shared" si="1"/>
        <v>10</v>
      </c>
      <c r="B22" s="66"/>
      <c r="C22" s="68"/>
      <c r="D22" s="21"/>
      <c r="E22" s="72"/>
      <c r="F22" s="73"/>
      <c r="G22" s="71"/>
      <c r="H22" s="21"/>
      <c r="I22" s="68"/>
      <c r="J22" s="13"/>
      <c r="K22" s="13"/>
      <c r="L22" s="21"/>
    </row>
    <row r="23" ht="22.5" customHeight="1">
      <c r="A23" s="74"/>
      <c r="B23" s="74"/>
      <c r="C23" s="75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ht="22.5" customHeight="1">
      <c r="A24" s="74"/>
      <c r="B24" s="74"/>
      <c r="C24" s="75"/>
      <c r="D24" s="74"/>
      <c r="E24" s="74"/>
      <c r="F24" s="74"/>
      <c r="G24" s="74"/>
      <c r="H24" s="74"/>
      <c r="I24" s="74"/>
      <c r="J24" s="74"/>
      <c r="K24" s="74"/>
      <c r="L24" s="74"/>
      <c r="M24" s="74"/>
    </row>
    <row r="25" ht="22.5" customHeight="1">
      <c r="A25" s="61" t="s">
        <v>70</v>
      </c>
      <c r="M25" s="17"/>
    </row>
    <row r="26" ht="22.5" customHeight="1">
      <c r="A26" s="62" t="s">
        <v>63</v>
      </c>
      <c r="B26" s="63" t="s">
        <v>71</v>
      </c>
      <c r="C26" s="63" t="s">
        <v>68</v>
      </c>
      <c r="D26" s="64" t="s">
        <v>72</v>
      </c>
      <c r="E26" s="13"/>
      <c r="F26" s="13"/>
      <c r="G26" s="13"/>
      <c r="H26" s="21"/>
      <c r="I26" s="64" t="s">
        <v>69</v>
      </c>
      <c r="J26" s="13"/>
      <c r="K26" s="13"/>
      <c r="L26" s="21"/>
      <c r="M26" s="76"/>
    </row>
    <row r="27">
      <c r="A27" s="87" t="s">
        <v>73</v>
      </c>
      <c r="B27" s="77" t="s">
        <v>97</v>
      </c>
      <c r="C27" s="78" t="s">
        <v>98</v>
      </c>
      <c r="D27" s="79" t="s">
        <v>99</v>
      </c>
      <c r="E27" s="13"/>
      <c r="F27" s="13"/>
      <c r="G27" s="13"/>
      <c r="H27" s="21"/>
      <c r="I27" s="80" t="s">
        <v>100</v>
      </c>
      <c r="J27" s="13"/>
      <c r="K27" s="13"/>
      <c r="L27" s="21"/>
      <c r="M27" s="76"/>
    </row>
    <row r="28" ht="22.5" customHeight="1">
      <c r="A28" s="87" t="s">
        <v>74</v>
      </c>
      <c r="B28" s="79" t="s">
        <v>101</v>
      </c>
      <c r="C28" s="77" t="s">
        <v>102</v>
      </c>
      <c r="D28" s="81" t="s">
        <v>103</v>
      </c>
      <c r="E28" s="13"/>
      <c r="F28" s="13"/>
      <c r="G28" s="13"/>
      <c r="H28" s="21"/>
      <c r="I28" s="79"/>
      <c r="J28" s="13"/>
      <c r="K28" s="13"/>
      <c r="L28" s="21"/>
      <c r="M28" s="76"/>
    </row>
    <row r="29" ht="22.5" customHeight="1">
      <c r="A29" s="87" t="s">
        <v>75</v>
      </c>
      <c r="B29" s="79" t="s">
        <v>104</v>
      </c>
      <c r="C29" s="77" t="s">
        <v>41</v>
      </c>
      <c r="D29" s="81" t="s">
        <v>105</v>
      </c>
      <c r="E29" s="13"/>
      <c r="F29" s="13"/>
      <c r="G29" s="13"/>
      <c r="H29" s="21"/>
      <c r="I29" s="79"/>
      <c r="J29" s="13"/>
      <c r="K29" s="13"/>
      <c r="L29" s="21"/>
      <c r="M29" s="76"/>
    </row>
    <row r="30" ht="22.5" customHeight="1">
      <c r="A30" s="74"/>
      <c r="B30" s="74"/>
      <c r="C30" s="75"/>
      <c r="D30" s="74"/>
      <c r="E30" s="74"/>
      <c r="F30" s="74"/>
      <c r="G30" s="74"/>
      <c r="H30" s="74"/>
      <c r="I30" s="74"/>
      <c r="J30" s="74"/>
      <c r="K30" s="74"/>
      <c r="L30" s="74"/>
      <c r="M30" s="76"/>
    </row>
    <row r="31" ht="22.5" customHeight="1">
      <c r="A31" s="74"/>
      <c r="B31" s="74"/>
      <c r="C31" s="75"/>
      <c r="D31" s="74"/>
      <c r="E31" s="74"/>
      <c r="F31" s="74"/>
      <c r="G31" s="74"/>
      <c r="H31" s="74"/>
      <c r="I31" s="74"/>
      <c r="J31" s="74"/>
      <c r="K31" s="74"/>
      <c r="L31" s="74"/>
      <c r="M31" s="74"/>
    </row>
  </sheetData>
  <mergeCells count="68">
    <mergeCell ref="G13:H13"/>
    <mergeCell ref="G14:H14"/>
    <mergeCell ref="I14:L14"/>
    <mergeCell ref="G15:H15"/>
    <mergeCell ref="I15:L15"/>
    <mergeCell ref="G16:H16"/>
    <mergeCell ref="I16:L16"/>
    <mergeCell ref="G17:H17"/>
    <mergeCell ref="I17:L17"/>
    <mergeCell ref="G18:H18"/>
    <mergeCell ref="I18:L18"/>
    <mergeCell ref="G19:H19"/>
    <mergeCell ref="I19:L19"/>
    <mergeCell ref="I20:L20"/>
    <mergeCell ref="A1:C3"/>
    <mergeCell ref="D1:H3"/>
    <mergeCell ref="I1:L1"/>
    <mergeCell ref="I2:L2"/>
    <mergeCell ref="I3:L3"/>
    <mergeCell ref="A4:H4"/>
    <mergeCell ref="I4:L4"/>
    <mergeCell ref="K7:L7"/>
    <mergeCell ref="K8:L8"/>
    <mergeCell ref="K10:L10"/>
    <mergeCell ref="M12:M22"/>
    <mergeCell ref="A5:M5"/>
    <mergeCell ref="B6:D6"/>
    <mergeCell ref="E6:I6"/>
    <mergeCell ref="K6:L6"/>
    <mergeCell ref="M6:M9"/>
    <mergeCell ref="E7:I7"/>
    <mergeCell ref="E8:I8"/>
    <mergeCell ref="K9:L9"/>
    <mergeCell ref="B9:D9"/>
    <mergeCell ref="E9:I9"/>
    <mergeCell ref="E10:I10"/>
    <mergeCell ref="A11:M11"/>
    <mergeCell ref="G12:H12"/>
    <mergeCell ref="I12:L12"/>
    <mergeCell ref="I13:L13"/>
    <mergeCell ref="C16:D16"/>
    <mergeCell ref="C17:D17"/>
    <mergeCell ref="C18:D18"/>
    <mergeCell ref="C19:D19"/>
    <mergeCell ref="C20:D20"/>
    <mergeCell ref="C21:D21"/>
    <mergeCell ref="C22:D22"/>
    <mergeCell ref="B7:D7"/>
    <mergeCell ref="B8:D8"/>
    <mergeCell ref="B10:D10"/>
    <mergeCell ref="C12:D12"/>
    <mergeCell ref="C13:D13"/>
    <mergeCell ref="C14:D14"/>
    <mergeCell ref="C15:D15"/>
    <mergeCell ref="D26:H26"/>
    <mergeCell ref="D27:H27"/>
    <mergeCell ref="I27:L27"/>
    <mergeCell ref="D28:H28"/>
    <mergeCell ref="I28:L28"/>
    <mergeCell ref="D29:H29"/>
    <mergeCell ref="I29:L29"/>
    <mergeCell ref="G20:H20"/>
    <mergeCell ref="G21:H21"/>
    <mergeCell ref="I21:L21"/>
    <mergeCell ref="G22:H22"/>
    <mergeCell ref="I22:L22"/>
    <mergeCell ref="A25:M25"/>
    <mergeCell ref="I26:L26"/>
  </mergeCells>
  <dataValidations>
    <dataValidation type="list" allowBlank="1" sqref="E13:E22">
      <formula1>Appendix!$K$4:$K$8</formula1>
    </dataValidation>
    <dataValidation type="list" allowBlank="1" sqref="B13:B22">
      <formula1>Appendix!$N$4:$N$8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6" max="6" width="4.25"/>
    <col customWidth="1" min="10" max="10" width="4.0"/>
    <col customWidth="1" min="13" max="13" width="4.13"/>
    <col customWidth="1" min="14" max="14" width="15.38"/>
  </cols>
  <sheetData>
    <row r="1">
      <c r="A1" s="88"/>
      <c r="B1" s="88"/>
      <c r="C1" s="88"/>
      <c r="D1" s="88"/>
      <c r="E1" s="88"/>
      <c r="F1" s="89"/>
      <c r="G1" s="88"/>
      <c r="H1" s="88"/>
      <c r="I1" s="88"/>
      <c r="J1" s="90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</row>
    <row r="2">
      <c r="A2" s="91"/>
      <c r="B2" s="92" t="s">
        <v>106</v>
      </c>
      <c r="E2" s="91"/>
      <c r="F2" s="92" t="s">
        <v>107</v>
      </c>
      <c r="G2" s="93"/>
      <c r="H2" s="91"/>
      <c r="I2" s="91"/>
      <c r="J2" s="94" t="s">
        <v>108</v>
      </c>
      <c r="L2" s="91"/>
      <c r="M2" s="92" t="s">
        <v>109</v>
      </c>
      <c r="N2" s="93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>
      <c r="A3" s="91"/>
      <c r="B3" s="95" t="s">
        <v>110</v>
      </c>
      <c r="C3" s="96" t="s">
        <v>111</v>
      </c>
      <c r="D3" s="96" t="s">
        <v>112</v>
      </c>
      <c r="E3" s="97"/>
      <c r="F3" s="98" t="s">
        <v>110</v>
      </c>
      <c r="G3" s="96" t="s">
        <v>113</v>
      </c>
      <c r="H3" s="96" t="s">
        <v>114</v>
      </c>
      <c r="I3" s="91"/>
      <c r="J3" s="96" t="s">
        <v>110</v>
      </c>
      <c r="K3" s="96" t="s">
        <v>115</v>
      </c>
      <c r="L3" s="91"/>
      <c r="M3" s="96" t="s">
        <v>110</v>
      </c>
      <c r="N3" s="96" t="s">
        <v>115</v>
      </c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>
      <c r="A4" s="99"/>
      <c r="B4" s="100">
        <f t="array" ref="B4:B8">ROW(B4:B8)-3</f>
        <v>1</v>
      </c>
      <c r="C4" s="100" t="s">
        <v>15</v>
      </c>
      <c r="D4" s="100"/>
      <c r="E4" s="99"/>
      <c r="F4" s="101">
        <f t="array" ref="F4:F14">ROW(B4:B14)-3</f>
        <v>1</v>
      </c>
      <c r="G4" s="102" t="s">
        <v>18</v>
      </c>
      <c r="H4" s="102" t="s">
        <v>116</v>
      </c>
      <c r="I4" s="99"/>
      <c r="J4" s="103">
        <v>1.0</v>
      </c>
      <c r="K4" s="102" t="s">
        <v>117</v>
      </c>
      <c r="L4" s="99"/>
      <c r="M4" s="102">
        <v>1.0</v>
      </c>
      <c r="N4" s="102" t="s">
        <v>93</v>
      </c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</row>
    <row r="5">
      <c r="A5" s="99"/>
      <c r="B5" s="100">
        <v>2.0</v>
      </c>
      <c r="C5" s="102" t="s">
        <v>118</v>
      </c>
      <c r="D5" s="100"/>
      <c r="E5" s="99"/>
      <c r="F5" s="100">
        <v>2.0</v>
      </c>
      <c r="G5" s="100"/>
      <c r="H5" s="100"/>
      <c r="I5" s="99"/>
      <c r="J5" s="103">
        <v>2.0</v>
      </c>
      <c r="K5" s="102" t="s">
        <v>89</v>
      </c>
      <c r="L5" s="99"/>
      <c r="M5" s="102">
        <v>2.0</v>
      </c>
      <c r="N5" s="102" t="s">
        <v>119</v>
      </c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>
      <c r="A6" s="99"/>
      <c r="B6" s="100">
        <v>3.0</v>
      </c>
      <c r="C6" s="100"/>
      <c r="D6" s="100"/>
      <c r="E6" s="99"/>
      <c r="F6" s="100">
        <v>3.0</v>
      </c>
      <c r="G6" s="100"/>
      <c r="H6" s="100"/>
      <c r="I6" s="99"/>
      <c r="J6" s="103">
        <v>3.0</v>
      </c>
      <c r="K6" s="102" t="s">
        <v>120</v>
      </c>
      <c r="L6" s="99"/>
      <c r="M6" s="102">
        <v>3.0</v>
      </c>
      <c r="N6" s="102" t="s">
        <v>121</v>
      </c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>
      <c r="A7" s="99"/>
      <c r="B7" s="100">
        <v>4.0</v>
      </c>
      <c r="C7" s="100"/>
      <c r="D7" s="100"/>
      <c r="E7" s="99"/>
      <c r="F7" s="100">
        <v>4.0</v>
      </c>
      <c r="G7" s="100"/>
      <c r="H7" s="100"/>
      <c r="I7" s="99"/>
      <c r="J7" s="103">
        <v>4.0</v>
      </c>
      <c r="K7" s="102" t="s">
        <v>122</v>
      </c>
      <c r="L7" s="99"/>
      <c r="M7" s="102">
        <v>4.0</v>
      </c>
      <c r="N7" s="102" t="s">
        <v>87</v>
      </c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>
      <c r="A8" s="99"/>
      <c r="B8" s="100">
        <v>5.0</v>
      </c>
      <c r="C8" s="100"/>
      <c r="D8" s="100"/>
      <c r="E8" s="99"/>
      <c r="F8" s="100">
        <v>5.0</v>
      </c>
      <c r="G8" s="100"/>
      <c r="H8" s="100"/>
      <c r="I8" s="99"/>
      <c r="J8" s="103">
        <v>5.0</v>
      </c>
      <c r="K8" s="102" t="s">
        <v>123</v>
      </c>
      <c r="L8" s="99"/>
      <c r="M8" s="100"/>
      <c r="N8" s="102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>
      <c r="A9" s="99"/>
      <c r="B9" s="99"/>
      <c r="C9" s="99"/>
      <c r="D9" s="99"/>
      <c r="E9" s="99"/>
      <c r="F9" s="100">
        <v>6.0</v>
      </c>
      <c r="G9" s="100"/>
      <c r="H9" s="100"/>
      <c r="I9" s="99"/>
      <c r="J9" s="104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>
      <c r="A10" s="99"/>
      <c r="B10" s="99"/>
      <c r="C10" s="99"/>
      <c r="D10" s="99"/>
      <c r="E10" s="99"/>
      <c r="F10" s="100">
        <v>7.0</v>
      </c>
      <c r="G10" s="100"/>
      <c r="H10" s="100"/>
      <c r="I10" s="99"/>
      <c r="J10" s="104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>
      <c r="A11" s="99"/>
      <c r="B11" s="99"/>
      <c r="C11" s="99"/>
      <c r="D11" s="99"/>
      <c r="E11" s="99"/>
      <c r="F11" s="100">
        <v>8.0</v>
      </c>
      <c r="G11" s="100"/>
      <c r="H11" s="100"/>
      <c r="I11" s="99"/>
      <c r="J11" s="104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>
      <c r="A12" s="99"/>
      <c r="B12" s="99"/>
      <c r="C12" s="99"/>
      <c r="D12" s="99"/>
      <c r="E12" s="99"/>
      <c r="F12" s="100">
        <v>9.0</v>
      </c>
      <c r="G12" s="100"/>
      <c r="H12" s="100"/>
      <c r="I12" s="99"/>
      <c r="J12" s="104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>
      <c r="A13" s="99"/>
      <c r="B13" s="99"/>
      <c r="C13" s="99"/>
      <c r="D13" s="99"/>
      <c r="E13" s="99"/>
      <c r="F13" s="100">
        <v>10.0</v>
      </c>
      <c r="G13" s="100"/>
      <c r="H13" s="100"/>
      <c r="I13" s="99"/>
      <c r="J13" s="104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>
      <c r="A14" s="99"/>
      <c r="B14" s="105"/>
      <c r="E14" s="99"/>
      <c r="F14" s="100">
        <v>11.0</v>
      </c>
      <c r="G14" s="100"/>
      <c r="H14" s="100"/>
      <c r="I14" s="99"/>
      <c r="J14" s="104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>
      <c r="A15" s="99"/>
      <c r="B15" s="99"/>
      <c r="C15" s="99"/>
      <c r="D15" s="99"/>
      <c r="E15" s="99"/>
      <c r="F15" s="99"/>
      <c r="G15" s="99"/>
      <c r="H15" s="99"/>
      <c r="I15" s="99"/>
      <c r="J15" s="104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7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</row>
    <row r="17">
      <c r="A17" s="88"/>
      <c r="B17" s="88"/>
      <c r="C17" s="88"/>
      <c r="D17" s="88"/>
      <c r="E17" s="106"/>
      <c r="F17" s="106"/>
      <c r="G17" s="106"/>
      <c r="H17" s="106"/>
      <c r="I17" s="106"/>
      <c r="J17" s="90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</row>
    <row r="18">
      <c r="A18" s="88"/>
      <c r="B18" s="88"/>
      <c r="C18" s="88"/>
      <c r="D18" s="88"/>
      <c r="E18" s="106"/>
      <c r="F18" s="106"/>
      <c r="G18" s="106"/>
      <c r="H18" s="106"/>
      <c r="I18" s="106"/>
      <c r="J18" s="90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</row>
    <row r="19">
      <c r="A19" s="88"/>
      <c r="B19" s="88"/>
      <c r="C19" s="88"/>
      <c r="D19" s="88"/>
      <c r="E19" s="106"/>
      <c r="F19" s="106"/>
      <c r="G19" s="106"/>
      <c r="H19" s="106"/>
      <c r="I19" s="106"/>
      <c r="J19" s="90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90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90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90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90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90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90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90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90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90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90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90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90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90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90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90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90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90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90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90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90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90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90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90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90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90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90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90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90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90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90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90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90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90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90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90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90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90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90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90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90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90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90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90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90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90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90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90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90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90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90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90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90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90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90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90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90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90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90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90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90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90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90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90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90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90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90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90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90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90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90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90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90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90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90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90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90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90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90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90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90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90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90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90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90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90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90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90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90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90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90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90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90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90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90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90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90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90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90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90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90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90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90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90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90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90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90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90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90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90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90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90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90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90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90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90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90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90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90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90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90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90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90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90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90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90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90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90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90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90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90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90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90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90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90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90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90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90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90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90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90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90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90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90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90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90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90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90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90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90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90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90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90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90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90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90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90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90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90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90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90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90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90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90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90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90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90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90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90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90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90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90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90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90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90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90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90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90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90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90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90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90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90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90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90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90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90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90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90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90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90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90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90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90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90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90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90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90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90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90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90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90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90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90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90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90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90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90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90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90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90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90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90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90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90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90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90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90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90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90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90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90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90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90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90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90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90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90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90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90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90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90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90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90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90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90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90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90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90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90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90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90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90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90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90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90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90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90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90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90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90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90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90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90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90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90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90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90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90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90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90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90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90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90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90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90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90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90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90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90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90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90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90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90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90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90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90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90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90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90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90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90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90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90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90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90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90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90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90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90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90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90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90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90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90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90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90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90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90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90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90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90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90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90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90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90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90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90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90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90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90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90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90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90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90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90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90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90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90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90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90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90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90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90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90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90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90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90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90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90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90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90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90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90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90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90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90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90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90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90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90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90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90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90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90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90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90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90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90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90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90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90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90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90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90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90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90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90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90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90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90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90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90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90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90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90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90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90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90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90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90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90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90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90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90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90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90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90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90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90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90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90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90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90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90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90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90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90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90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90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90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90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90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90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90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90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90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90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90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90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90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90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90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90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90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90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90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90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90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90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90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90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90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90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90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90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90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90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90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90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90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90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90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90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90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90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90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90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90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90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90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90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90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90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90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90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90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90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90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90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90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90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90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90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90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90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90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90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90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90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90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90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90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90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90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90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90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90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90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90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90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90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90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90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90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90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90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90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90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90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90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90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90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90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90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90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90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90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90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90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90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90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90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90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90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90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90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90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90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90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90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90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90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90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90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90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90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90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90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90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90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90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90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90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90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90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90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90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90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90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90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90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90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90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90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90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90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90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90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90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90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90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90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90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90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90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90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90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90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90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90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90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90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90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90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90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90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90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90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90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90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90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90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90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90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90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90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90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90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90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90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90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90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90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90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90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90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90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90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90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90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90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90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90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90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90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90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90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90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90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90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90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90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90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90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90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90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90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90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90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90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90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90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90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90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90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90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90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90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90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90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90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90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90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90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90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90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90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90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90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90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90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90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90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90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90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90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90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90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90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90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90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90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90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90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90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90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90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90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90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90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90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90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90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90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90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90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90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90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90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90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90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90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90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90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90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90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90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90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90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90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90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90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90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90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90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90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90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90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90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90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90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90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90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90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90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90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90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90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90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90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90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90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90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90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90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90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90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90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90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90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90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90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90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90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90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90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90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90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90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90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90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90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90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90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90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90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90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90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90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90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90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90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90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90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90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90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90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90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90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90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90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90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90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90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90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90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90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90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90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90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90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90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90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90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90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90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90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90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90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90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90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90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90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90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90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90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90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90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90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90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90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90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90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90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90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90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90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90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90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90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90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90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90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90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90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90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90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90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90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90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90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90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90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90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90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90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90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90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90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90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90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90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90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90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90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90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90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90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90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90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90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90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90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90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90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90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90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90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90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90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90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90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90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90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90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90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90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90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90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90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90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90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90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90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90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90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90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90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90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90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90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90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90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90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90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90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90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90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90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90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90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90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90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90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90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90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90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90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90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90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90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90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90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90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90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90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90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90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90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90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90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90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90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90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90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90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90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90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90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90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90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90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90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90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90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90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90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90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90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90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90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90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90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90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90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90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90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90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90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90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90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90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90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90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90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90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90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90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90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90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90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90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90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90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90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90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90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90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90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90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90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90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90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90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90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90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90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90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90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90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90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90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90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90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90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90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90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90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90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90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90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90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90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90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90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90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90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90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90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90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90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90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90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90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90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90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90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90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90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90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90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90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90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90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90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90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90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90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90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90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90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90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90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90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90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90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90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90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90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90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90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90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</row>
  </sheetData>
  <mergeCells count="3">
    <mergeCell ref="B2:D2"/>
    <mergeCell ref="J2:K2"/>
    <mergeCell ref="B14:D14"/>
  </mergeCells>
  <drawing r:id="rId1"/>
  <tableParts count="4">
    <tablePart r:id="rId6"/>
    <tablePart r:id="rId7"/>
    <tablePart r:id="rId8"/>
    <tablePart r:id="rId9"/>
  </tableParts>
</worksheet>
</file>